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permetricsQueries" sheetId="1" r:id="rId3"/>
    <sheet state="visible" name="DRE" sheetId="2" r:id="rId4"/>
    <sheet state="hidden" name="_BlockspringConfiguration" sheetId="3" r:id="rId5"/>
  </sheets>
  <definedNames>
    <definedName name="zsupermetrics_Q1lDDoqzojtgBtaFdWOJy3kN4ps42V">#REF!</definedName>
    <definedName name="zsupermetrics_cQax8sUZwqQRpXCLWOUCWaJRh5NIUM">#REF!</definedName>
    <definedName name="zsupermetrics_refreshAll">SupermetricsQueries!$H$5</definedName>
    <definedName name="zsupermetrics_o854DmVQPZwQ0KWritQuyNW727x8gg">#REF!</definedName>
    <definedName name="zsupermetrics_BDqhpKAXW5CTwF6JuGw9wWGwH8mbwE">#REF!</definedName>
    <definedName name="zsupermetrics_M8DLfmNmVQKRfdL1jRjumjdV3rmMMc">#REF!</definedName>
    <definedName name="zsupermetrics_refreshAllSilent">SupermetricsQueries!$H$6</definedName>
    <definedName name="zsupermetrics_xB3EfwdNPG5X4pzNOJxJ48kHPfowj9">#REF!</definedName>
    <definedName name="zsupermetrics_QjZCh5ehVYnsUKzf9LqhbmXD0aWARB">#REF!</definedName>
    <definedName name="zsupermetrics_SMs7BncYC9Qqpecd3drQed4EKN1K36">#REF!</definedName>
    <definedName name="zsupermetrics_aqILnnPxydYBPjnmZuGsbUGcYyGjKu">#REF!</definedName>
    <definedName name="zsupermetrics_qmkz3vK5iMRx8y5mwIi5Am9YOdmK2h">#REF!</definedName>
    <definedName name="zsupermetrics_Sabfv3ruCNwDHRTF5aATHTfHOec5QM">#REF!</definedName>
    <definedName name="zsupermetrics_forceRefresh">SupermetricsQueries!$H$4</definedName>
    <definedName name="zsupermetrics_aWoGtNuKW4WwdLes9httSctaFqAdLF">#REF!</definedName>
    <definedName name="zsupermetrics_v1II3Slh7GSheJ8wC4vDKNyZZzDA1y">#REF!</definedName>
    <definedName name="zsupermetrics_4RsDLW4O917ErGAuQAsmBlhVELJaEF">#REF!</definedName>
    <definedName name="zsupermetrics_fFboLTOPUCP1E1apuYqqqmF1yFwEhS">#REF!</definedName>
    <definedName name="zsupermetrics_1G75DEMJbxY2l6caToncnknXlvQ0Yq">#REF!</definedName>
    <definedName name="zsupermetrics_xmmxXh0rqDfRpmohANLR1FdttnAAzz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Considere os números médios de todo o periodo que você está atuando com o projeto. </t>
      </text>
    </comment>
    <comment authorId="0" ref="A5">
      <text>
        <t xml:space="preserve">O valor será acrescido A CADA QUARTER
Mínimo: 30%
Ideal: 40%
Máximo: 50%</t>
      </text>
    </comment>
    <comment authorId="0" ref="A7">
      <text>
        <t xml:space="preserve">O ROAS na ESCALA tende a ficar de 2 a 4</t>
      </text>
    </comment>
    <comment authorId="0" ref="B7">
      <text>
        <t xml:space="preserve">Se o seu ROAS for maior que 4, normalmente você tende a perder mais performance, quanto mais ele se aproxima de 2,3 ou 4 mais realista ele é. Se seu ROAS está muito alto, exemplo 6, provavelmente você esta investindo pouco e deve considerar uma perda maior no longo prazo conforme for ampliando o orçamento de mídia.</t>
      </text>
    </comment>
    <comment authorId="0" ref="F7">
      <text>
        <t xml:space="preserve">Se o seu ROAS for maior que 4, normalmente você tende a perder mais performance, quanto mais ele se aproxima de 2,3 ou 4 mais realista ele é. Se seu ROAS está muito alto, exemplo 6, provavelmente você esta investindo pouco e deve considerar uma perda maior no longo prazo conforme for ampliando o orçamento de mídia.</t>
      </text>
    </comment>
    <comment authorId="0" ref="I7">
      <text>
        <t xml:space="preserve">Se o seu ROAS for maior que 4, normalmente você tende a perder mais performance, quanto mais ele se aproxima de 2,3 ou 4 mais realista ele é. Se seu ROAS está muito alto, exemplo 6, provavelmente você esta investindo pouco e deve considerar uma perda maior no longo prazo conforme for ampliando o orçamento de mídia.</t>
      </text>
    </comment>
    <comment authorId="0" ref="L7">
      <text>
        <t xml:space="preserve">Se o seu ROAS for maior que 4, normalmente você tende a perder mais performance, quanto mais ele se aproxima de 2,3 ou 4 mais realista ele é. Se seu ROAS está muito alto, exemplo 6, provavelmente você esta investindo pouco e deve considerar uma perda maior no longo prazo conforme for ampliando o orçamento de mídia.</t>
      </text>
    </comment>
    <comment authorId="0" ref="O7">
      <text>
        <t xml:space="preserve">Se o seu ROAS for maior que 4, normalmente você tende a perder mais performance, quanto mais ele se aproxima de 2,3 ou 4 mais realista ele é. Se seu ROAS está muito alto, exemplo 6, provavelmente você esta investindo pouco e deve considerar uma perda maior no longo prazo conforme for ampliando o orçamento de mídia.</t>
      </text>
    </comment>
    <comment authorId="0" ref="R7">
      <text>
        <t xml:space="preserve">Se o seu ROAS for maior que 4, normalmente você tende a perder mais performance, quanto mais ele se aproxima de 2,3 ou 4 mais realista ele é. Se seu ROAS está muito alto, exemplo 6, provavelmente você esta investindo pouco e deve considerar uma perda maior no longo prazo conforme for ampliando o orçamento de mídia.</t>
      </text>
    </comment>
    <comment authorId="0" ref="U7">
      <text>
        <t xml:space="preserve">Se o seu ROAS for maior que 4, normalmente você tende a perder mais performance, quanto mais ele se aproxima de 2,3 ou 4 mais realista ele é. Se seu ROAS está muito alto, exemplo 6, provavelmente você esta investindo pouco e deve considerar uma perda maior no longo prazo conforme for ampliando o orçamento de mídia.</t>
      </text>
    </comment>
    <comment authorId="0" ref="X7">
      <text>
        <t xml:space="preserve">Se o seu ROAS for maior que 4, normalmente você tende a perder mais performance, quanto mais ele se aproxima de 2,3 ou 4 mais realista ele é. Se seu ROAS está muito alto, exemplo 6, provavelmente você esta investindo pouco e deve considerar uma perda maior no longo prazo conforme for ampliando o orçamento de mídia.</t>
      </text>
    </comment>
    <comment authorId="0" ref="A12">
      <text>
        <t xml:space="preserve">digite aqui 
Quantos % das comprar em média no mês são de clientes que compram novamente, não sendo a fonte o investimento de mídia. A ideia é projetar a base de clientes que retém mês a mês somado aos novos clientes oriundos do investimento de mídia. Quanto mais próximo de 0 mais realista. Busque ter esse número o mais baseado em fatos possível </t>
      </text>
    </comment>
  </commentList>
</comments>
</file>

<file path=xl/sharedStrings.xml><?xml version="1.0" encoding="utf-8"?>
<sst xmlns="http://schemas.openxmlformats.org/spreadsheetml/2006/main" count="207" uniqueCount="183">
  <si>
    <t>Supermetrics Queries</t>
  </si>
  <si>
    <t>All the queries created by Supermetrics are stored here, each in its own row.</t>
  </si>
  <si>
    <t>On this sheet you can:</t>
  </si>
  <si>
    <t>1. Modify the parameters of a query. Any changes will be visible when you run a refresh.</t>
  </si>
  <si>
    <t>2. Remove a query by deleting its row</t>
  </si>
  <si>
    <t>3. Add new queries: type a range address and query parameters, leave the query ID empty. The query will be added when you run a refresh. (Of course, it's much easier to use the sidebar to add new queries.)</t>
  </si>
  <si>
    <t>4. Add queries that point to other spreadsheets: follow step 3, but also add a spreadsheet ID (you can see the ID in the URL when you have a file open)</t>
  </si>
  <si>
    <t>Query ID</t>
  </si>
  <si>
    <t>Spreadsheet ID</t>
  </si>
  <si>
    <t>Sheet name</t>
  </si>
  <si>
    <t>Range address</t>
  </si>
  <si>
    <t>Created</t>
  </si>
  <si>
    <t>Updated</t>
  </si>
  <si>
    <t>Last status</t>
  </si>
  <si>
    <t>Last refresh ID</t>
  </si>
  <si>
    <t>Results contain sampled data</t>
  </si>
  <si>
    <t>Execution time (sec)</t>
  </si>
  <si>
    <t>Object type</t>
  </si>
  <si>
    <t>Linked chart ID</t>
  </si>
  <si>
    <t>Data source</t>
  </si>
  <si>
    <t>Date range type</t>
  </si>
  <si>
    <t>Start date</t>
  </si>
  <si>
    <t>End date</t>
  </si>
  <si>
    <t>Compare to</t>
  </si>
  <si>
    <t>Comparison value type</t>
  </si>
  <si>
    <t>Accounts/views</t>
  </si>
  <si>
    <t>Metrics</t>
  </si>
  <si>
    <t>Dimensions</t>
  </si>
  <si>
    <t>Pivot dimensions</t>
  </si>
  <si>
    <t>Filters</t>
  </si>
  <si>
    <t>Segment ID</t>
  </si>
  <si>
    <t>Sort</t>
  </si>
  <si>
    <t>Max rows</t>
  </si>
  <si>
    <t>Max pivot categories</t>
  </si>
  <si>
    <t>Special settings</t>
  </si>
  <si>
    <t>Other parameters</t>
  </si>
  <si>
    <t>Result type</t>
  </si>
  <si>
    <t>Language/country</t>
  </si>
  <si>
    <t>Translate to</t>
  </si>
  <si>
    <t>SQL</t>
  </si>
  <si>
    <t>Database name</t>
  </si>
  <si>
    <t>Range address (static)</t>
  </si>
  <si>
    <t>Report type</t>
  </si>
  <si>
    <t>Scope (Moz)</t>
  </si>
  <si>
    <t>Sort (Moz)</t>
  </si>
  <si>
    <t>Highlight with colour</t>
  </si>
  <si>
    <t>Refresh with user account</t>
  </si>
  <si>
    <t>Returned data</t>
  </si>
  <si>
    <t>paramsID</t>
  </si>
  <si>
    <t>ssID</t>
  </si>
  <si>
    <t>sheetName</t>
  </si>
  <si>
    <t>rangeAddress</t>
  </si>
  <si>
    <t>created</t>
  </si>
  <si>
    <t>updated</t>
  </si>
  <si>
    <t>lastStatus</t>
  </si>
  <si>
    <t>lastqueryID</t>
  </si>
  <si>
    <t>sampled</t>
  </si>
  <si>
    <t>runtime_sec</t>
  </si>
  <si>
    <t>objType</t>
  </si>
  <si>
    <t>linkedChartID</t>
  </si>
  <si>
    <t>dataSource</t>
  </si>
  <si>
    <t>dateRangeType</t>
  </si>
  <si>
    <t>startDateString</t>
  </si>
  <si>
    <t>endDateString</t>
  </si>
  <si>
    <t>comp</t>
  </si>
  <si>
    <t>cvt</t>
  </si>
  <si>
    <t>profiles</t>
  </si>
  <si>
    <t>metrics</t>
  </si>
  <si>
    <t>dimensions</t>
  </si>
  <si>
    <t>sd</t>
  </si>
  <si>
    <t>filterArr</t>
  </si>
  <si>
    <t>segment</t>
  </si>
  <si>
    <t>sort</t>
  </si>
  <si>
    <t>maxResults</t>
  </si>
  <si>
    <t>maxCategories</t>
  </si>
  <si>
    <t>specialSettings</t>
  </si>
  <si>
    <t>otherParams</t>
  </si>
  <si>
    <t>sds_result_type</t>
  </si>
  <si>
    <t>sds_lang</t>
  </si>
  <si>
    <t>sds_tolang</t>
  </si>
  <si>
    <t>sql</t>
  </si>
  <si>
    <t>db_name</t>
  </si>
  <si>
    <t>rangeAddressStatic</t>
  </si>
  <si>
    <t>rt</t>
  </si>
  <si>
    <t>scopeMZ</t>
  </si>
  <si>
    <t>sortMZ</t>
  </si>
  <si>
    <t>condform</t>
  </si>
  <si>
    <t>authUser</t>
  </si>
  <si>
    <t>metaDataToUser</t>
  </si>
  <si>
    <t>cQax8sUZwqQRpXCLWOUCWaJRh5NIUM</t>
  </si>
  <si>
    <t>Refreshed successfully by trigger s3mcz5i0-9QWZpZ86Zr5ZezSXqxBd4</t>
  </si>
  <si>
    <t>TABLE</t>
  </si>
  <si>
    <t>FA</t>
  </si>
  <si>
    <t>custom</t>
  </si>
  <si>
    <t>["act_2341858132547416`Shop 77"]</t>
  </si>
  <si>
    <t>["impressions","link_clicks","offsite_conversions_fb_pixel_lead","cost"]</t>
  </si>
  <si>
    <t>["Date","campaign_group_name"]</t>
  </si>
  <si>
    <t>[]</t>
  </si>
  <si>
    <t>["ACTION_REPORT_TIME_impression","BLANKS_TO_ZERO"]</t>
  </si>
  <si>
    <t>{}</t>
  </si>
  <si>
    <t>Gastos Facebook'!A1:F361</t>
  </si>
  <si>
    <t>SMs7BncYC9Qqpecd3drQed4EKN1K36</t>
  </si>
  <si>
    <t>AW</t>
  </si>
  <si>
    <t>["6791326507`Shop 77"]</t>
  </si>
  <si>
    <t>["Impressions","Clicks","Conversionsmanyperclick","Cost"]</t>
  </si>
  <si>
    <t>["Date","Campaignname"]</t>
  </si>
  <si>
    <t>["BLANKS_TO_ZERO"]</t>
  </si>
  <si>
    <t>Gastos Google'!A1:F295</t>
  </si>
  <si>
    <r>
      <rPr>
        <b/>
        <sz val="12.0"/>
      </rPr>
      <t xml:space="preserve">Apenas altere as células em </t>
    </r>
    <r>
      <rPr>
        <b/>
        <color rgb="FFF1C232"/>
        <sz val="12.0"/>
      </rPr>
      <t xml:space="preserve">AMARELO </t>
    </r>
    <r>
      <rPr>
        <b/>
        <sz val="12.0"/>
      </rPr>
      <t xml:space="preserve">e </t>
    </r>
    <r>
      <rPr>
        <b/>
        <color rgb="FFFF9900"/>
        <sz val="12.0"/>
      </rPr>
      <t>LARANJA</t>
    </r>
    <r>
      <rPr>
        <b/>
        <sz val="12.0"/>
      </rPr>
      <t>!</t>
    </r>
  </si>
  <si>
    <t>ATUAL/BASE</t>
  </si>
  <si>
    <t>ANO1</t>
  </si>
  <si>
    <t>ANO2</t>
  </si>
  <si>
    <t>Dezembro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</si>
  <si>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</si>
  <si>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</si>
  <si>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</si>
  <si>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</si>
  <si>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</si>
  <si>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</si>
  <si>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</si>
  <si>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</si>
  <si>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</si>
  <si>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</si>
  <si>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</si>
  <si>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</si>
  <si>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Investimento e Performance</t>
  </si>
  <si>
    <t>INVESTIMENTO (R$)</t>
  </si>
  <si>
    <t>Crescimento em Investimento em Ads (%)</t>
  </si>
  <si>
    <t>ROAS</t>
  </si>
  <si>
    <t>Perda de Performance dos Ads mês a mês (%)</t>
  </si>
  <si>
    <t>Vendas</t>
  </si>
  <si>
    <t>Pedidos Finalizados (nº)</t>
  </si>
  <si>
    <t>Produtos vendidos</t>
  </si>
  <si>
    <t>Receita Novos clientes (R$)</t>
  </si>
  <si>
    <t>Taxa de retorno (%)</t>
  </si>
  <si>
    <t>Ticket Médio (R$)</t>
  </si>
  <si>
    <t>Custos Variáveis (R$)</t>
  </si>
  <si>
    <t>Frete</t>
  </si>
  <si>
    <t>Imposto</t>
  </si>
  <si>
    <t>Materia prima/Custo produto</t>
  </si>
  <si>
    <t>Marketplace</t>
  </si>
  <si>
    <t>Comissão</t>
  </si>
  <si>
    <t>Total = Custos Variaveis (R$)</t>
  </si>
  <si>
    <t>Margem de Contribuição R$</t>
  </si>
  <si>
    <t>Margem de Contribuição %</t>
  </si>
  <si>
    <t>Custos Fixos (R$)</t>
  </si>
  <si>
    <t>Evolua Fortal</t>
  </si>
  <si>
    <t>Plataforma (ecommerce,email,marketplace...)</t>
  </si>
  <si>
    <t>Equipe de conteúdo</t>
  </si>
  <si>
    <t>Aluguel</t>
  </si>
  <si>
    <t>Condominio</t>
  </si>
  <si>
    <t>Luz</t>
  </si>
  <si>
    <t xml:space="preserve">Outras pessoas </t>
  </si>
  <si>
    <t>EBITDA (R$)</t>
  </si>
  <si>
    <t>EBITDA (%)</t>
  </si>
  <si>
    <t>Settings:</t>
  </si>
  <si>
    <t>selection_metadata</t>
  </si>
  <si>
    <t>Queries:</t>
  </si>
  <si>
    <t>query id</t>
  </si>
  <si>
    <t>sheet name</t>
  </si>
  <si>
    <t>range address</t>
  </si>
  <si>
    <t>selection</t>
  </si>
  <si>
    <t>clear selection</t>
  </si>
  <si>
    <t>timed refresh</t>
  </si>
  <si>
    <t>run</t>
  </si>
  <si>
    <t>append</t>
  </si>
  <si>
    <t>match headers</t>
  </si>
  <si>
    <t>advanced options</t>
  </si>
  <si>
    <t>custom title</t>
  </si>
  <si>
    <t>custom description</t>
  </si>
  <si>
    <t>block id</t>
  </si>
  <si>
    <t>parameters</t>
  </si>
  <si>
    <t>PrJtcFViAw6FPZULfnKU</t>
  </si>
  <si>
    <t>ad-insights-facebook-ads</t>
  </si>
  <si>
    <t>since</t>
  </si>
  <si>
    <t>date</t>
  </si>
  <si>
    <t>until</t>
  </si>
  <si>
    <t>account_id</t>
  </si>
  <si>
    <t>text</t>
  </si>
  <si>
    <t>act_676709299121152</t>
  </si>
  <si>
    <t>fields</t>
  </si>
  <si>
    <t>array</t>
  </si>
  <si>
    <t>[["campaign_name","impressions","website_clicks","spend"]]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</si>
</sst>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h:mm:ss"/>
    <numFmt numFmtId="165" formatCode="yyyy-mm-dd"/>
    <numFmt numFmtId="166" formatCode="[$R$ -416]#,##0.00"/>
    <numFmt numFmtId="167" formatCode="[$R$ -416]#,##0"/>
  </numFmts>
  <fonts count="20">
    <font>
      <sz val="10.0"/>
      <color rgb="FF000000"/>
      <name val="Arial"/>
    </font>
    <font>
      <b/>
      <sz val="20.0"/>
    </font>
    <font/>
    <font>
      <color rgb="FFEEEEEE"/>
    </font>
    <font>
      <b/>
    </font>
    <font>
      <color rgb="FF000000"/>
    </font>
    <font>
      <color rgb="FF008000"/>
    </font>
    <font>
      <b/>
      <sz val="12.0"/>
    </font>
    <font>
      <b/>
      <color rgb="FFFFFFFF"/>
    </font>
    <font>
      <b/>
      <sz val="12.0"/>
      <color rgb="FFFFFFFF"/>
    </font>
    <font>
      <b/>
      <color rgb="FF000000"/>
    </font>
    <font>
      <i/>
      <color rgb="FF5B0F00"/>
    </font>
    <font>
      <b/>
      <color rgb="FF0000FF"/>
    </font>
    <font>
      <color rgb="FF5B0F00"/>
    </font>
    <font>
      <b/>
      <sz val="11.0"/>
    </font>
    <font>
      <sz val="12.0"/>
      <color rgb="FFFFFFFF"/>
    </font>
    <font>
      <name val="Arial"/>
    </font>
    <font>
      <b/>
      <color rgb="FF0000FF"/>
      <name val="Arial"/>
    </font>
    <font>
      <sz val="11.0"/>
    </font>
    <font>
      <b/>
      <sz val="11.0"/>
      <color rgb="FF000000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BF0E6"/>
        <bgColor rgb="FFDBF0E6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</fills>
  <borders count="11">
    <border/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right style="medium">
        <color rgb="FF434343"/>
      </right>
      <bottom style="medium">
        <color rgb="FF434343"/>
      </bottom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top style="medium">
        <color rgb="FF434343"/>
      </top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shrinkToFit="0" vertical="top" wrapText="1"/>
    </xf>
    <xf borderId="0" fillId="2" fontId="4" numFmtId="0" xfId="0" applyAlignment="1" applyFill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quotePrefix="1" borderId="0" fillId="0" fontId="5" numFmtId="0" xfId="0" applyAlignment="1" applyFont="1">
      <alignment readingOrder="0"/>
    </xf>
    <xf borderId="0" fillId="0" fontId="7" numFmtId="0" xfId="0" applyAlignment="1" applyFont="1">
      <alignment horizontal="right" readingOrder="0" shrinkToFit="0" wrapText="1"/>
    </xf>
    <xf borderId="0" fillId="3" fontId="8" numFmtId="166" xfId="0" applyAlignment="1" applyFill="1" applyFont="1" applyNumberFormat="1">
      <alignment horizontal="center" readingOrder="0" vertical="center"/>
    </xf>
    <xf borderId="0" fillId="4" fontId="8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center" readingOrder="0"/>
    </xf>
    <xf borderId="0" fillId="0" fontId="4" numFmtId="0" xfId="0" applyAlignment="1" applyFont="1">
      <alignment horizontal="right" readingOrder="0"/>
    </xf>
    <xf borderId="1" fillId="5" fontId="9" numFmtId="0" xfId="0" applyAlignment="1" applyBorder="1" applyFont="1">
      <alignment readingOrder="0" vertical="bottom"/>
    </xf>
    <xf borderId="2" fillId="5" fontId="9" numFmtId="0" xfId="0" applyAlignment="1" applyBorder="1" applyFont="1">
      <alignment readingOrder="0" vertical="bottom"/>
    </xf>
    <xf borderId="2" fillId="5" fontId="9" numFmtId="167" xfId="0" applyAlignment="1" applyBorder="1" applyFont="1" applyNumberFormat="1">
      <alignment horizontal="right" readingOrder="0" vertical="bottom"/>
    </xf>
    <xf borderId="3" fillId="5" fontId="9" numFmtId="167" xfId="0" applyAlignment="1" applyBorder="1" applyFont="1" applyNumberFormat="1">
      <alignment horizontal="right" readingOrder="0" vertical="bottom"/>
    </xf>
    <xf borderId="0" fillId="6" fontId="10" numFmtId="166" xfId="0" applyAlignment="1" applyFill="1" applyFont="1" applyNumberFormat="1">
      <alignment readingOrder="0"/>
    </xf>
    <xf borderId="0" fillId="7" fontId="2" numFmtId="167" xfId="0" applyAlignment="1" applyFill="1" applyFont="1" applyNumberFormat="1">
      <alignment horizontal="right" readingOrder="0"/>
    </xf>
    <xf borderId="0" fillId="7" fontId="11" numFmtId="167" xfId="0" applyAlignment="1" applyFont="1" applyNumberFormat="1">
      <alignment horizontal="right" readingOrder="0"/>
    </xf>
    <xf borderId="0" fillId="6" fontId="10" numFmtId="9" xfId="0" applyAlignment="1" applyFont="1" applyNumberFormat="1">
      <alignment readingOrder="0"/>
    </xf>
    <xf borderId="0" fillId="7" fontId="12" numFmtId="0" xfId="0" applyAlignment="1" applyFont="1">
      <alignment horizontal="left" readingOrder="0"/>
    </xf>
    <xf borderId="0" fillId="0" fontId="2" numFmtId="2" xfId="0" applyAlignment="1" applyFont="1" applyNumberFormat="1">
      <alignment readingOrder="0"/>
    </xf>
    <xf borderId="0" fillId="7" fontId="2" numFmtId="2" xfId="0" applyAlignment="1" applyFont="1" applyNumberFormat="1">
      <alignment readingOrder="0"/>
    </xf>
    <xf borderId="0" fillId="7" fontId="2" numFmtId="2" xfId="0" applyAlignment="1" applyFont="1" applyNumberFormat="1">
      <alignment horizontal="right" readingOrder="0"/>
    </xf>
    <xf borderId="0" fillId="7" fontId="13" numFmtId="2" xfId="0" applyAlignment="1" applyFont="1" applyNumberFormat="1">
      <alignment horizontal="right" readingOrder="0"/>
    </xf>
    <xf borderId="0" fillId="0" fontId="2" numFmtId="2" xfId="0" applyFont="1" applyNumberFormat="1"/>
    <xf borderId="0" fillId="6" fontId="10" numFmtId="10" xfId="0" applyAlignment="1" applyFont="1" applyNumberFormat="1">
      <alignment readingOrder="0"/>
    </xf>
    <xf borderId="0" fillId="7" fontId="12" numFmtId="9" xfId="0" applyAlignment="1" applyFont="1" applyNumberFormat="1">
      <alignment horizontal="right" readingOrder="0"/>
    </xf>
    <xf borderId="4" fillId="5" fontId="9" numFmtId="0" xfId="0" applyAlignment="1" applyBorder="1" applyFont="1">
      <alignment readingOrder="0"/>
    </xf>
    <xf borderId="5" fillId="5" fontId="9" numFmtId="0" xfId="0" applyAlignment="1" applyBorder="1" applyFont="1">
      <alignment readingOrder="0"/>
    </xf>
    <xf borderId="5" fillId="5" fontId="9" numFmtId="167" xfId="0" applyAlignment="1" applyBorder="1" applyFont="1" applyNumberFormat="1">
      <alignment horizontal="right" readingOrder="0"/>
    </xf>
    <xf borderId="6" fillId="5" fontId="9" numFmtId="167" xfId="0" applyAlignment="1" applyBorder="1" applyFont="1" applyNumberFormat="1">
      <alignment horizontal="right" readingOrder="0"/>
    </xf>
    <xf borderId="0" fillId="6" fontId="10" numFmtId="0" xfId="0" applyAlignment="1" applyFont="1">
      <alignment readingOrder="0"/>
    </xf>
    <xf borderId="0" fillId="0" fontId="2" numFmtId="3" xfId="0" applyAlignment="1" applyFont="1" applyNumberFormat="1">
      <alignment horizontal="right"/>
    </xf>
    <xf borderId="0" fillId="7" fontId="10" numFmtId="167" xfId="0" applyAlignment="1" applyFont="1" applyNumberFormat="1">
      <alignment horizontal="right"/>
    </xf>
    <xf borderId="0" fillId="8" fontId="4" numFmtId="167" xfId="0" applyAlignment="1" applyFill="1" applyFont="1" applyNumberFormat="1">
      <alignment horizontal="right"/>
    </xf>
    <xf borderId="4" fillId="0" fontId="14" numFmtId="0" xfId="0" applyAlignment="1" applyBorder="1" applyFont="1">
      <alignment readingOrder="0" vertical="center"/>
    </xf>
    <xf borderId="5" fillId="0" fontId="14" numFmtId="0" xfId="0" applyAlignment="1" applyBorder="1" applyFont="1">
      <alignment readingOrder="0" vertical="center"/>
    </xf>
    <xf borderId="5" fillId="0" fontId="14" numFmtId="167" xfId="0" applyAlignment="1" applyBorder="1" applyFont="1" applyNumberFormat="1">
      <alignment horizontal="right" readingOrder="0" vertical="center"/>
    </xf>
    <xf borderId="6" fillId="0" fontId="14" numFmtId="167" xfId="0" applyAlignment="1" applyBorder="1" applyFont="1" applyNumberFormat="1">
      <alignment horizontal="right" readingOrder="0" vertical="center"/>
    </xf>
    <xf borderId="5" fillId="5" fontId="15" numFmtId="0" xfId="0" applyBorder="1" applyFont="1"/>
    <xf borderId="5" fillId="5" fontId="15" numFmtId="167" xfId="0" applyAlignment="1" applyBorder="1" applyFont="1" applyNumberFormat="1">
      <alignment horizontal="right"/>
    </xf>
    <xf borderId="6" fillId="5" fontId="15" numFmtId="167" xfId="0" applyAlignment="1" applyBorder="1" applyFont="1" applyNumberFormat="1">
      <alignment horizontal="right"/>
    </xf>
    <xf borderId="7" fillId="9" fontId="16" numFmtId="0" xfId="0" applyAlignment="1" applyBorder="1" applyFill="1" applyFont="1">
      <alignment vertical="bottom"/>
    </xf>
    <xf borderId="7" fillId="6" fontId="17" numFmtId="166" xfId="0" applyAlignment="1" applyBorder="1" applyFont="1" applyNumberFormat="1">
      <alignment horizontal="right" readingOrder="0" vertical="bottom"/>
    </xf>
    <xf borderId="7" fillId="0" fontId="16" numFmtId="167" xfId="0" applyAlignment="1" applyBorder="1" applyFont="1" applyNumberFormat="1">
      <alignment horizontal="right" vertical="bottom"/>
    </xf>
    <xf borderId="0" fillId="9" fontId="16" numFmtId="0" xfId="0" applyAlignment="1" applyFont="1">
      <alignment vertical="bottom"/>
    </xf>
    <xf borderId="0" fillId="6" fontId="17" numFmtId="166" xfId="0" applyAlignment="1" applyFont="1" applyNumberFormat="1">
      <alignment horizontal="right" readingOrder="0" vertical="bottom"/>
    </xf>
    <xf borderId="0" fillId="0" fontId="16" numFmtId="167" xfId="0" applyAlignment="1" applyFont="1" applyNumberFormat="1">
      <alignment horizontal="right" vertical="bottom"/>
    </xf>
    <xf borderId="0" fillId="7" fontId="17" numFmtId="166" xfId="0" applyAlignment="1" applyFont="1" applyNumberFormat="1">
      <alignment horizontal="right" readingOrder="0" vertical="bottom"/>
    </xf>
    <xf borderId="8" fillId="9" fontId="16" numFmtId="0" xfId="0" applyAlignment="1" applyBorder="1" applyFont="1">
      <alignment vertical="bottom"/>
    </xf>
    <xf borderId="8" fillId="6" fontId="16" numFmtId="166" xfId="0" applyAlignment="1" applyBorder="1" applyFont="1" applyNumberFormat="1">
      <alignment readingOrder="0" vertical="bottom"/>
    </xf>
    <xf borderId="8" fillId="0" fontId="16" numFmtId="167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5" fillId="0" fontId="4" numFmtId="166" xfId="0" applyBorder="1" applyFont="1" applyNumberFormat="1"/>
    <xf borderId="5" fillId="0" fontId="4" numFmtId="167" xfId="0" applyAlignment="1" applyBorder="1" applyFont="1" applyNumberFormat="1">
      <alignment horizontal="right"/>
    </xf>
    <xf borderId="6" fillId="0" fontId="4" numFmtId="167" xfId="0" applyAlignment="1" applyBorder="1" applyFont="1" applyNumberFormat="1">
      <alignment horizontal="right"/>
    </xf>
    <xf borderId="4" fillId="0" fontId="2" numFmtId="0" xfId="0" applyAlignment="1" applyBorder="1" applyFont="1">
      <alignment readingOrder="0"/>
    </xf>
    <xf borderId="5" fillId="0" fontId="2" numFmtId="166" xfId="0" applyBorder="1" applyFont="1" applyNumberFormat="1"/>
    <xf borderId="5" fillId="0" fontId="2" numFmtId="167" xfId="0" applyAlignment="1" applyBorder="1" applyFont="1" applyNumberFormat="1">
      <alignment horizontal="right"/>
    </xf>
    <xf borderId="6" fillId="0" fontId="2" numFmtId="167" xfId="0" applyAlignment="1" applyBorder="1" applyFont="1" applyNumberFormat="1">
      <alignment horizontal="right"/>
    </xf>
    <xf borderId="5" fillId="0" fontId="4" numFmtId="10" xfId="0" applyBorder="1" applyFont="1" applyNumberFormat="1"/>
    <xf borderId="5" fillId="5" fontId="9" numFmtId="166" xfId="0" applyBorder="1" applyFont="1" applyNumberFormat="1"/>
    <xf borderId="5" fillId="5" fontId="9" numFmtId="167" xfId="0" applyAlignment="1" applyBorder="1" applyFont="1" applyNumberFormat="1">
      <alignment horizontal="right"/>
    </xf>
    <xf borderId="6" fillId="5" fontId="9" numFmtId="167" xfId="0" applyAlignment="1" applyBorder="1" applyFont="1" applyNumberFormat="1">
      <alignment horizontal="right"/>
    </xf>
    <xf borderId="0" fillId="9" fontId="2" numFmtId="0" xfId="0" applyAlignment="1" applyFont="1">
      <alignment readingOrder="0"/>
    </xf>
    <xf borderId="0" fillId="0" fontId="2" numFmtId="167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167" xfId="0" applyAlignment="1" applyFont="1" applyNumberFormat="1">
      <alignment horizontal="right"/>
    </xf>
    <xf borderId="9" fillId="0" fontId="18" numFmtId="166" xfId="0" applyAlignment="1" applyBorder="1" applyFont="1" applyNumberFormat="1">
      <alignment readingOrder="0" vertical="center"/>
    </xf>
    <xf borderId="10" fillId="10" fontId="19" numFmtId="166" xfId="0" applyAlignment="1" applyBorder="1" applyFill="1" applyFont="1" applyNumberFormat="1">
      <alignment vertical="center"/>
    </xf>
    <xf borderId="10" fillId="0" fontId="18" numFmtId="166" xfId="0" applyAlignment="1" applyBorder="1" applyFont="1" applyNumberFormat="1">
      <alignment horizontal="right" vertical="center"/>
    </xf>
    <xf borderId="9" fillId="0" fontId="14" numFmtId="0" xfId="0" applyAlignment="1" applyBorder="1" applyFont="1">
      <alignment readingOrder="0" vertical="center"/>
    </xf>
    <xf borderId="10" fillId="0" fontId="14" numFmtId="10" xfId="0" applyAlignment="1" applyBorder="1" applyFont="1" applyNumberFormat="1">
      <alignment vertical="center"/>
    </xf>
    <xf borderId="0" fillId="0" fontId="2" numFmtId="1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Fluxo de Caixa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DRE!$C$33:$Z$33</c:f>
              <c:numCache/>
            </c:numRef>
          </c:val>
        </c:ser>
        <c:axId val="1600400505"/>
        <c:axId val="519829144"/>
      </c:areaChart>
      <c:catAx>
        <c:axId val="160040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9829144"/>
      </c:catAx>
      <c:valAx>
        <c:axId val="519829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0400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34</xdr:row>
      <xdr:rowOff>28575</xdr:rowOff>
    </xdr:from>
    <xdr:ext cx="5991225" cy="2762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4">
      <c r="H4" s="3">
        <v>1.5776938E7</v>
      </c>
    </row>
    <row r="5">
      <c r="A5" s="4" t="s">
        <v>2</v>
      </c>
      <c r="H5" s="5"/>
    </row>
    <row r="6">
      <c r="A6" s="6" t="s">
        <v>3</v>
      </c>
      <c r="H6" s="5"/>
    </row>
    <row r="8">
      <c r="A8" s="6" t="s">
        <v>4</v>
      </c>
    </row>
    <row r="10">
      <c r="A10" s="6" t="s">
        <v>5</v>
      </c>
    </row>
    <row r="12">
      <c r="A12" s="6" t="s">
        <v>6</v>
      </c>
    </row>
    <row r="19">
      <c r="A19" s="7" t="s">
        <v>7</v>
      </c>
      <c r="B19" s="8"/>
      <c r="C19" s="7" t="s">
        <v>8</v>
      </c>
      <c r="D19" s="7" t="s">
        <v>9</v>
      </c>
      <c r="E19" s="7" t="s">
        <v>10</v>
      </c>
      <c r="F19" s="8"/>
      <c r="G19" s="7" t="s">
        <v>11</v>
      </c>
      <c r="H19" s="7" t="s">
        <v>12</v>
      </c>
      <c r="I19" s="7" t="s">
        <v>13</v>
      </c>
      <c r="J19" s="7" t="s">
        <v>14</v>
      </c>
      <c r="K19" s="7" t="s">
        <v>15</v>
      </c>
      <c r="L19" s="7" t="s">
        <v>16</v>
      </c>
      <c r="M19" s="7" t="s">
        <v>17</v>
      </c>
      <c r="N19" s="7" t="s">
        <v>18</v>
      </c>
      <c r="O19" s="7" t="s">
        <v>19</v>
      </c>
      <c r="P19" s="8"/>
      <c r="Q19" s="7" t="s">
        <v>20</v>
      </c>
      <c r="R19" s="7" t="s">
        <v>21</v>
      </c>
      <c r="S19" s="7" t="s">
        <v>22</v>
      </c>
      <c r="T19" s="7" t="s">
        <v>23</v>
      </c>
      <c r="U19" s="7" t="s">
        <v>24</v>
      </c>
      <c r="V19" s="8"/>
      <c r="W19" s="7" t="s">
        <v>25</v>
      </c>
      <c r="X19" s="7" t="s">
        <v>26</v>
      </c>
      <c r="Y19" s="7" t="s">
        <v>27</v>
      </c>
      <c r="Z19" s="7" t="s">
        <v>28</v>
      </c>
      <c r="AA19" s="7" t="s">
        <v>29</v>
      </c>
      <c r="AB19" s="7" t="s">
        <v>30</v>
      </c>
      <c r="AC19" s="7" t="s">
        <v>31</v>
      </c>
      <c r="AD19" s="7" t="s">
        <v>32</v>
      </c>
      <c r="AE19" s="7" t="s">
        <v>33</v>
      </c>
      <c r="AF19" s="7" t="s">
        <v>34</v>
      </c>
      <c r="AG19" s="7" t="s">
        <v>35</v>
      </c>
      <c r="AH19" s="8"/>
      <c r="AI19" s="8"/>
      <c r="AJ19" s="7" t="s">
        <v>36</v>
      </c>
      <c r="AK19" s="7" t="s">
        <v>37</v>
      </c>
      <c r="AL19" s="7" t="s">
        <v>38</v>
      </c>
      <c r="AM19" s="8"/>
      <c r="AN19" s="7" t="s">
        <v>39</v>
      </c>
      <c r="AO19" s="7" t="s">
        <v>40</v>
      </c>
      <c r="AP19" s="7" t="s">
        <v>41</v>
      </c>
      <c r="AQ19" s="7" t="s">
        <v>42</v>
      </c>
      <c r="AR19" s="7" t="s">
        <v>43</v>
      </c>
      <c r="AS19" s="7" t="s">
        <v>44</v>
      </c>
      <c r="AT19" s="7" t="s">
        <v>45</v>
      </c>
      <c r="AU19" s="7" t="s">
        <v>46</v>
      </c>
      <c r="AV19" s="7" t="s">
        <v>47</v>
      </c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</row>
    <row r="20" hidden="1">
      <c r="A20" s="4" t="s">
        <v>48</v>
      </c>
      <c r="C20" s="4" t="s">
        <v>49</v>
      </c>
      <c r="D20" s="4" t="s">
        <v>50</v>
      </c>
      <c r="E20" s="4" t="s">
        <v>51</v>
      </c>
      <c r="G20" s="4" t="s">
        <v>52</v>
      </c>
      <c r="H20" s="4" t="s">
        <v>53</v>
      </c>
      <c r="I20" s="4" t="s">
        <v>54</v>
      </c>
      <c r="J20" s="4" t="s">
        <v>55</v>
      </c>
      <c r="K20" s="4" t="s">
        <v>56</v>
      </c>
      <c r="L20" s="4" t="s">
        <v>57</v>
      </c>
      <c r="M20" s="4" t="s">
        <v>58</v>
      </c>
      <c r="N20" s="4" t="s">
        <v>59</v>
      </c>
      <c r="O20" s="4" t="s">
        <v>60</v>
      </c>
      <c r="Q20" s="4" t="s">
        <v>61</v>
      </c>
      <c r="R20" s="4" t="s">
        <v>62</v>
      </c>
      <c r="S20" s="4" t="s">
        <v>63</v>
      </c>
      <c r="T20" s="4" t="s">
        <v>64</v>
      </c>
      <c r="U20" s="4" t="s">
        <v>65</v>
      </c>
      <c r="W20" s="4" t="s">
        <v>66</v>
      </c>
      <c r="X20" s="4" t="s">
        <v>67</v>
      </c>
      <c r="Y20" s="4" t="s">
        <v>68</v>
      </c>
      <c r="Z20" s="4" t="s">
        <v>69</v>
      </c>
      <c r="AA20" s="4" t="s">
        <v>70</v>
      </c>
      <c r="AB20" s="4" t="s">
        <v>71</v>
      </c>
      <c r="AC20" s="4" t="s">
        <v>72</v>
      </c>
      <c r="AD20" s="4" t="s">
        <v>73</v>
      </c>
      <c r="AE20" s="4" t="s">
        <v>74</v>
      </c>
      <c r="AF20" s="4" t="s">
        <v>75</v>
      </c>
      <c r="AG20" s="4" t="s">
        <v>76</v>
      </c>
      <c r="AJ20" s="4" t="s">
        <v>77</v>
      </c>
      <c r="AK20" s="4" t="s">
        <v>78</v>
      </c>
      <c r="AL20" s="4" t="s">
        <v>79</v>
      </c>
      <c r="AN20" s="4" t="s">
        <v>80</v>
      </c>
      <c r="AO20" s="4" t="s">
        <v>81</v>
      </c>
      <c r="AP20" s="4" t="s">
        <v>82</v>
      </c>
      <c r="AQ20" s="4" t="s">
        <v>83</v>
      </c>
      <c r="AR20" s="4" t="s">
        <v>84</v>
      </c>
      <c r="AS20" s="4" t="s">
        <v>85</v>
      </c>
      <c r="AT20" s="4" t="s">
        <v>86</v>
      </c>
      <c r="AU20" s="4" t="s">
        <v>87</v>
      </c>
      <c r="AV20" s="4" t="s">
        <v>88</v>
      </c>
    </row>
    <row r="21">
      <c r="A21" s="9" t="s">
        <v>89</v>
      </c>
      <c r="B21" s="10"/>
      <c r="C21" s="10"/>
      <c r="D21" s="9" t="str">
        <f>IFERROR(__xludf.DUMMYFUNCTION("ARRAY_CONSTRAIN(split(CELL(""ADDRESS"",zsupermetrics_cQax8sUZwqQRpXCLWOUCWaJRh5NIUM),""!""),1,1)"),"#REF!")</f>
        <v>#REF!</v>
      </c>
      <c r="E21" s="9" t="str">
        <f>CELL("ADDRESS",zsupermetrics_cQax8sUZwqQRpXCLWOUCWaJRh5NIUM)&amp;":"&amp;address(row(zsupermetrics_cQax8sUZwqQRpXCLWOUCWaJRh5NIUM)+rows(zsupermetrics_cQax8sUZwqQRpXCLWOUCWaJRh5NIUM)-1,column(zsupermetrics_cQax8sUZwqQRpXCLWOUCWaJRh5NIUM)+COLUMNS(zsupermetrics_cQax8sUZwqQRpXCLWOUCWaJRh5NIUM)-1)</f>
        <v>#REF!</v>
      </c>
      <c r="F21" s="10"/>
      <c r="G21" s="11">
        <v>43811.684432870374</v>
      </c>
      <c r="H21" s="11">
        <v>43829.220046296294</v>
      </c>
      <c r="I21" s="12" t="s">
        <v>90</v>
      </c>
      <c r="J21" s="13">
        <v>1.577693790348E12</v>
      </c>
      <c r="K21" s="9" t="b">
        <v>0</v>
      </c>
      <c r="L21" s="13">
        <v>13.0</v>
      </c>
      <c r="M21" s="9" t="s">
        <v>91</v>
      </c>
      <c r="N21" s="10"/>
      <c r="O21" s="9" t="s">
        <v>92</v>
      </c>
      <c r="P21" s="10"/>
      <c r="Q21" s="9" t="s">
        <v>93</v>
      </c>
      <c r="R21" s="14">
        <v>43435.0</v>
      </c>
      <c r="S21" s="14">
        <v>47603.0</v>
      </c>
      <c r="T21" s="10"/>
      <c r="U21" s="10"/>
      <c r="V21" s="10"/>
      <c r="W21" s="9" t="s">
        <v>94</v>
      </c>
      <c r="X21" s="9" t="s">
        <v>95</v>
      </c>
      <c r="Y21" s="9" t="s">
        <v>96</v>
      </c>
      <c r="Z21" s="9" t="s">
        <v>97</v>
      </c>
      <c r="AA21" s="9" t="s">
        <v>97</v>
      </c>
      <c r="AB21" s="9" t="s">
        <v>97</v>
      </c>
      <c r="AC21" s="10"/>
      <c r="AD21" s="9">
        <v>1000000.0</v>
      </c>
      <c r="AE21" s="10"/>
      <c r="AF21" s="9" t="s">
        <v>98</v>
      </c>
      <c r="AG21" s="9" t="s">
        <v>99</v>
      </c>
      <c r="AH21" s="10"/>
      <c r="AI21" s="10"/>
      <c r="AJ21" s="10"/>
      <c r="AK21" s="10"/>
      <c r="AL21" s="10"/>
      <c r="AM21" s="10"/>
      <c r="AN21" s="10"/>
      <c r="AO21" s="10"/>
      <c r="AP21" s="15" t="s">
        <v>100</v>
      </c>
      <c r="AQ21" s="10"/>
      <c r="AR21" s="10"/>
      <c r="AS21" s="10"/>
      <c r="AT21" s="10"/>
      <c r="AU21" s="9">
        <v>4.05486629798089E14</v>
      </c>
      <c r="AV21" s="10"/>
      <c r="AW21" s="10"/>
      <c r="AX21" s="10"/>
    </row>
    <row r="22">
      <c r="A22" s="9" t="s">
        <v>101</v>
      </c>
      <c r="B22" s="10"/>
      <c r="C22" s="10"/>
      <c r="D22" s="9" t="str">
        <f>IFERROR(__xludf.DUMMYFUNCTION("ARRAY_CONSTRAIN(split(CELL(""ADDRESS"",zsupermetrics_SMs7BncYC9Qqpecd3drQed4EKN1K36),""!""),1,1)"),"#REF!")</f>
        <v>#REF!</v>
      </c>
      <c r="E22" s="9" t="str">
        <f>CELL("ADDRESS",zsupermetrics_SMs7BncYC9Qqpecd3drQed4EKN1K36)&amp;":"&amp;address(row(zsupermetrics_SMs7BncYC9Qqpecd3drQed4EKN1K36)+rows(zsupermetrics_SMs7BncYC9Qqpecd3drQed4EKN1K36)-1,column(zsupermetrics_SMs7BncYC9Qqpecd3drQed4EKN1K36)+COLUMNS(zsupermetrics_SMs7BncYC9Qqpecd3drQed4EKN1K36)-1)</f>
        <v>#REF!</v>
      </c>
      <c r="F22" s="10"/>
      <c r="G22" s="11">
        <v>43811.68549768518</v>
      </c>
      <c r="H22" s="11">
        <v>43829.21996527778</v>
      </c>
      <c r="I22" s="12" t="s">
        <v>90</v>
      </c>
      <c r="J22" s="13">
        <v>1.577693792932E12</v>
      </c>
      <c r="K22" s="9" t="b">
        <v>0</v>
      </c>
      <c r="L22" s="13">
        <v>1.0</v>
      </c>
      <c r="M22" s="9" t="s">
        <v>91</v>
      </c>
      <c r="N22" s="10"/>
      <c r="O22" s="9" t="s">
        <v>102</v>
      </c>
      <c r="P22" s="10"/>
      <c r="Q22" s="9" t="s">
        <v>93</v>
      </c>
      <c r="R22" s="14">
        <v>42005.0</v>
      </c>
      <c r="S22" s="14">
        <v>47484.0</v>
      </c>
      <c r="T22" s="10"/>
      <c r="U22" s="10"/>
      <c r="V22" s="10"/>
      <c r="W22" s="9" t="s">
        <v>103</v>
      </c>
      <c r="X22" s="9" t="s">
        <v>104</v>
      </c>
      <c r="Y22" s="9" t="s">
        <v>105</v>
      </c>
      <c r="Z22" s="9" t="s">
        <v>97</v>
      </c>
      <c r="AA22" s="9" t="s">
        <v>97</v>
      </c>
      <c r="AB22" s="9" t="s">
        <v>97</v>
      </c>
      <c r="AC22" s="10"/>
      <c r="AD22" s="9">
        <v>1000000.0</v>
      </c>
      <c r="AE22" s="10"/>
      <c r="AF22" s="9" t="s">
        <v>106</v>
      </c>
      <c r="AG22" s="9" t="s">
        <v>99</v>
      </c>
      <c r="AH22" s="10"/>
      <c r="AI22" s="10"/>
      <c r="AJ22" s="10"/>
      <c r="AK22" s="10"/>
      <c r="AL22" s="10"/>
      <c r="AM22" s="10"/>
      <c r="AN22" s="10"/>
      <c r="AO22" s="10"/>
      <c r="AP22" s="15" t="s">
        <v>107</v>
      </c>
      <c r="AQ22" s="10"/>
      <c r="AR22" s="10"/>
      <c r="AS22" s="10"/>
      <c r="AT22" s="10"/>
      <c r="AU22" s="9">
        <v>5.541238582E9</v>
      </c>
      <c r="AV22" s="10"/>
      <c r="AW22" s="10"/>
      <c r="AX22" s="10"/>
    </row>
  </sheetData>
  <mergeCells count="4">
    <mergeCell ref="A6:G7"/>
    <mergeCell ref="A8:G9"/>
    <mergeCell ref="A10:G11"/>
    <mergeCell ref="A12:G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6.75"/>
  </cols>
  <sheetData>
    <row r="1">
      <c r="A1" s="16" t="s">
        <v>108</v>
      </c>
      <c r="B1" s="17" t="s">
        <v>109</v>
      </c>
      <c r="C1" s="18" t="s">
        <v>110</v>
      </c>
      <c r="O1" s="19" t="s">
        <v>111</v>
      </c>
    </row>
    <row r="2">
      <c r="C2" s="20" t="s">
        <v>112</v>
      </c>
      <c r="D2" s="20" t="s">
        <v>113</v>
      </c>
      <c r="E2" s="20" t="s">
        <v>114</v>
      </c>
      <c r="F2" s="20" t="s">
        <v>115</v>
      </c>
      <c r="G2" s="20" t="s">
        <v>116</v>
      </c>
      <c r="H2" s="20" t="s">
        <v>117</v>
      </c>
      <c r="I2" s="20" t="s">
        <v>118</v>
      </c>
      <c r="J2" s="20" t="s">
        <v>119</v>
      </c>
      <c r="K2" s="20" t="s">
        <v>120</v>
      </c>
      <c r="L2" s="20" t="s">
        <v>121</v>
      </c>
      <c r="M2" s="20" t="s">
        <v>122</v>
      </c>
      <c r="N2" s="20" t="s">
        <v>123</v>
      </c>
      <c r="O2" s="20" t="s">
        <v>124</v>
      </c>
      <c r="P2" s="20" t="s">
        <v>113</v>
      </c>
      <c r="Q2" s="20" t="s">
        <v>114</v>
      </c>
      <c r="R2" s="20" t="s">
        <v>115</v>
      </c>
      <c r="S2" s="20" t="s">
        <v>116</v>
      </c>
      <c r="T2" s="20" t="s">
        <v>117</v>
      </c>
      <c r="U2" s="20" t="s">
        <v>118</v>
      </c>
      <c r="V2" s="20" t="s">
        <v>119</v>
      </c>
      <c r="W2" s="20" t="s">
        <v>120</v>
      </c>
      <c r="X2" s="20" t="s">
        <v>121</v>
      </c>
      <c r="Y2" s="20" t="s">
        <v>122</v>
      </c>
      <c r="Z2" s="20" t="s">
        <v>123</v>
      </c>
    </row>
    <row r="3" ht="23.25" customHeight="1">
      <c r="A3" s="21" t="s">
        <v>125</v>
      </c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</row>
    <row r="4">
      <c r="A4" s="4" t="s">
        <v>126</v>
      </c>
      <c r="B4" s="25">
        <v>21457.42</v>
      </c>
      <c r="C4" s="26">
        <f>B4+(B4*B5)</f>
        <v>26178.0524</v>
      </c>
      <c r="D4" s="26">
        <f t="shared" ref="D4:E4" si="1">C4</f>
        <v>26178.0524</v>
      </c>
      <c r="E4" s="26">
        <f t="shared" si="1"/>
        <v>26178.0524</v>
      </c>
      <c r="F4" s="27">
        <f>E4+(E4*$B$5)</f>
        <v>31937.22393</v>
      </c>
      <c r="G4" s="26">
        <f t="shared" ref="G4:H4" si="2">F4+(F4*G5)</f>
        <v>31937.22393</v>
      </c>
      <c r="H4" s="26">
        <f t="shared" si="2"/>
        <v>31937.22393</v>
      </c>
      <c r="I4" s="27">
        <f>H4+(H4*$B$5)</f>
        <v>38963.41319</v>
      </c>
      <c r="J4" s="26">
        <f t="shared" ref="J4:K4" si="3">I4+(I4*J5)</f>
        <v>38963.41319</v>
      </c>
      <c r="K4" s="26">
        <f t="shared" si="3"/>
        <v>38963.41319</v>
      </c>
      <c r="L4" s="27">
        <f>K4+(K4*$B$5)</f>
        <v>47535.36409</v>
      </c>
      <c r="M4" s="26">
        <f t="shared" ref="M4:N4" si="4">L4+(L4*M5)</f>
        <v>47535.36409</v>
      </c>
      <c r="N4" s="26">
        <f t="shared" si="4"/>
        <v>47535.36409</v>
      </c>
      <c r="O4" s="27">
        <f>N4+(N4*$B$5)</f>
        <v>57993.1442</v>
      </c>
      <c r="P4" s="26">
        <f t="shared" ref="P4:Q4" si="5">O4+(O4*P5)</f>
        <v>57993.1442</v>
      </c>
      <c r="Q4" s="26">
        <f t="shared" si="5"/>
        <v>57993.1442</v>
      </c>
      <c r="R4" s="27">
        <f>Q4+(Q4*$B$5)</f>
        <v>70751.63592</v>
      </c>
      <c r="S4" s="26">
        <f t="shared" ref="S4:T4" si="6">R4+(R4*S5)</f>
        <v>70751.63592</v>
      </c>
      <c r="T4" s="26">
        <f t="shared" si="6"/>
        <v>70751.63592</v>
      </c>
      <c r="U4" s="27">
        <f>T4+(T4*$B$5)</f>
        <v>86316.99582</v>
      </c>
      <c r="V4" s="26">
        <f t="shared" ref="V4:W4" si="7">U4+(U4*V5)</f>
        <v>86316.99582</v>
      </c>
      <c r="W4" s="26">
        <f t="shared" si="7"/>
        <v>86316.99582</v>
      </c>
      <c r="X4" s="27">
        <f>W4+(W4*$B$5)</f>
        <v>105306.7349</v>
      </c>
      <c r="Y4" s="26">
        <f t="shared" ref="Y4:Z4" si="8">X4+(X4*Y5)</f>
        <v>105306.7349</v>
      </c>
      <c r="Z4" s="26">
        <f t="shared" si="8"/>
        <v>105306.7349</v>
      </c>
    </row>
    <row r="5">
      <c r="A5" s="4" t="s">
        <v>127</v>
      </c>
      <c r="B5" s="28">
        <v>0.22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128</v>
      </c>
      <c r="B6" s="31">
        <f>B11/B4</f>
        <v>35.76818648</v>
      </c>
      <c r="C6" s="32">
        <f>iferror(B6-(B6*B7))</f>
        <v>32.19136783</v>
      </c>
      <c r="D6" s="32">
        <f>C6</f>
        <v>32.19136783</v>
      </c>
      <c r="E6" s="32">
        <f>C6</f>
        <v>32.19136783</v>
      </c>
      <c r="F6" s="33">
        <f>iferror(E6-(E6*F7))</f>
        <v>30.58179944</v>
      </c>
      <c r="G6" s="32">
        <f>F6</f>
        <v>30.58179944</v>
      </c>
      <c r="H6" s="32">
        <f>F6</f>
        <v>30.58179944</v>
      </c>
      <c r="I6" s="33">
        <f>H6-(H6*I7)</f>
        <v>29.05270947</v>
      </c>
      <c r="J6" s="32">
        <f t="shared" ref="J6:K6" si="9">I6+(I6*J7)</f>
        <v>29.05270947</v>
      </c>
      <c r="K6" s="32">
        <f t="shared" si="9"/>
        <v>29.05270947</v>
      </c>
      <c r="L6" s="33">
        <f>K6-(K6*L7)</f>
        <v>27.600074</v>
      </c>
      <c r="M6" s="32">
        <f t="shared" ref="M6:N6" si="10">L6+(L6*M7)</f>
        <v>27.600074</v>
      </c>
      <c r="N6" s="32">
        <f t="shared" si="10"/>
        <v>27.600074</v>
      </c>
      <c r="O6" s="33">
        <f>N6-(N6*O7)</f>
        <v>26.2200703</v>
      </c>
      <c r="P6" s="32">
        <f t="shared" ref="P6:Q6" si="11">O6+(O6*P7)</f>
        <v>26.2200703</v>
      </c>
      <c r="Q6" s="32">
        <f t="shared" si="11"/>
        <v>26.2200703</v>
      </c>
      <c r="R6" s="33">
        <f>Q6-(Q6*R7)</f>
        <v>24.90906678</v>
      </c>
      <c r="S6" s="32">
        <f t="shared" ref="S6:T6" si="12">R6+(R6*S7)</f>
        <v>24.90906678</v>
      </c>
      <c r="T6" s="32">
        <f t="shared" si="12"/>
        <v>24.90906678</v>
      </c>
      <c r="U6" s="33">
        <f>T6-(T6*U7)</f>
        <v>23.66361344</v>
      </c>
      <c r="V6" s="32">
        <f t="shared" ref="V6:W6" si="13">U6+(U6*V7)</f>
        <v>23.66361344</v>
      </c>
      <c r="W6" s="32">
        <f t="shared" si="13"/>
        <v>23.66361344</v>
      </c>
      <c r="X6" s="33">
        <f>W6-(W6*X7)</f>
        <v>22.48043277</v>
      </c>
      <c r="Y6" s="32">
        <f t="shared" ref="Y6:Z6" si="14">X6+(X6*Y7)</f>
        <v>22.48043277</v>
      </c>
      <c r="Z6" s="34">
        <f t="shared" si="14"/>
        <v>22.48043277</v>
      </c>
    </row>
    <row r="7">
      <c r="A7" s="4" t="s">
        <v>129</v>
      </c>
      <c r="B7" s="35">
        <v>0.1</v>
      </c>
      <c r="C7" s="29"/>
      <c r="D7" s="29"/>
      <c r="E7" s="29"/>
      <c r="F7" s="35">
        <v>0.05</v>
      </c>
      <c r="G7" s="36"/>
      <c r="H7" s="36"/>
      <c r="I7" s="35">
        <v>0.05</v>
      </c>
      <c r="J7" s="36"/>
      <c r="K7" s="36"/>
      <c r="L7" s="35">
        <v>0.05</v>
      </c>
      <c r="M7" s="36"/>
      <c r="N7" s="36"/>
      <c r="O7" s="35">
        <v>0.05</v>
      </c>
      <c r="P7" s="36"/>
      <c r="Q7" s="36"/>
      <c r="R7" s="35">
        <v>0.05</v>
      </c>
      <c r="S7" s="36"/>
      <c r="T7" s="36"/>
      <c r="U7" s="35">
        <v>0.05</v>
      </c>
      <c r="V7" s="36"/>
      <c r="W7" s="36"/>
      <c r="X7" s="35">
        <v>0.05</v>
      </c>
      <c r="Y7" s="36"/>
      <c r="Z7" s="36"/>
    </row>
    <row r="8" ht="23.25" customHeight="1">
      <c r="A8" s="37" t="s">
        <v>130</v>
      </c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0"/>
    </row>
    <row r="9">
      <c r="A9" s="4" t="s">
        <v>131</v>
      </c>
      <c r="B9" s="41">
        <v>155.0</v>
      </c>
      <c r="C9" s="42">
        <f t="shared" ref="C9:Z9" si="15">iferror(C11/B13)</f>
        <v>170.19</v>
      </c>
      <c r="D9" s="42">
        <f t="shared" si="15"/>
        <v>170.19</v>
      </c>
      <c r="E9" s="42">
        <f t="shared" si="15"/>
        <v>170.19</v>
      </c>
      <c r="F9" s="42">
        <f t="shared" si="15"/>
        <v>197.25021</v>
      </c>
      <c r="G9" s="42">
        <f t="shared" si="15"/>
        <v>197.25021</v>
      </c>
      <c r="H9" s="42">
        <f t="shared" si="15"/>
        <v>197.25021</v>
      </c>
      <c r="I9" s="42">
        <f t="shared" si="15"/>
        <v>228.6129934</v>
      </c>
      <c r="J9" s="42">
        <f t="shared" si="15"/>
        <v>228.6129934</v>
      </c>
      <c r="K9" s="42">
        <f t="shared" si="15"/>
        <v>228.6129934</v>
      </c>
      <c r="L9" s="42">
        <f t="shared" si="15"/>
        <v>264.9624593</v>
      </c>
      <c r="M9" s="42">
        <f t="shared" si="15"/>
        <v>264.9624593</v>
      </c>
      <c r="N9" s="42">
        <f t="shared" si="15"/>
        <v>264.9624593</v>
      </c>
      <c r="O9" s="42">
        <f t="shared" si="15"/>
        <v>307.0914904</v>
      </c>
      <c r="P9" s="42">
        <f t="shared" si="15"/>
        <v>307.0914904</v>
      </c>
      <c r="Q9" s="42">
        <f t="shared" si="15"/>
        <v>307.0914904</v>
      </c>
      <c r="R9" s="42">
        <f t="shared" si="15"/>
        <v>355.9190373</v>
      </c>
      <c r="S9" s="42">
        <f t="shared" si="15"/>
        <v>355.9190373</v>
      </c>
      <c r="T9" s="42">
        <f t="shared" si="15"/>
        <v>355.9190373</v>
      </c>
      <c r="U9" s="42">
        <f t="shared" si="15"/>
        <v>412.5101643</v>
      </c>
      <c r="V9" s="42">
        <f t="shared" si="15"/>
        <v>412.5101643</v>
      </c>
      <c r="W9" s="42">
        <f t="shared" si="15"/>
        <v>412.5101643</v>
      </c>
      <c r="X9" s="42">
        <f t="shared" si="15"/>
        <v>478.0992804</v>
      </c>
      <c r="Y9" s="42">
        <f t="shared" si="15"/>
        <v>478.0992804</v>
      </c>
      <c r="Z9" s="42">
        <f t="shared" si="15"/>
        <v>478.0992804</v>
      </c>
    </row>
    <row r="10">
      <c r="A10" s="4" t="s">
        <v>132</v>
      </c>
      <c r="B10" s="41">
        <v>155.0</v>
      </c>
      <c r="C10" s="42">
        <f t="shared" ref="C10:Z10" si="16">IFERROR(B10/B9)*C9</f>
        <v>170.19</v>
      </c>
      <c r="D10" s="42">
        <f t="shared" si="16"/>
        <v>170.19</v>
      </c>
      <c r="E10" s="42">
        <f t="shared" si="16"/>
        <v>170.19</v>
      </c>
      <c r="F10" s="42">
        <f t="shared" si="16"/>
        <v>197.25021</v>
      </c>
      <c r="G10" s="42">
        <f t="shared" si="16"/>
        <v>197.25021</v>
      </c>
      <c r="H10" s="42">
        <f t="shared" si="16"/>
        <v>197.25021</v>
      </c>
      <c r="I10" s="42">
        <f t="shared" si="16"/>
        <v>228.6129934</v>
      </c>
      <c r="J10" s="42">
        <f t="shared" si="16"/>
        <v>228.6129934</v>
      </c>
      <c r="K10" s="42">
        <f t="shared" si="16"/>
        <v>228.6129934</v>
      </c>
      <c r="L10" s="42">
        <f t="shared" si="16"/>
        <v>264.9624593</v>
      </c>
      <c r="M10" s="42">
        <f t="shared" si="16"/>
        <v>264.9624593</v>
      </c>
      <c r="N10" s="42">
        <f t="shared" si="16"/>
        <v>264.9624593</v>
      </c>
      <c r="O10" s="42">
        <f t="shared" si="16"/>
        <v>307.0914904</v>
      </c>
      <c r="P10" s="42">
        <f t="shared" si="16"/>
        <v>307.0914904</v>
      </c>
      <c r="Q10" s="42">
        <f t="shared" si="16"/>
        <v>307.0914904</v>
      </c>
      <c r="R10" s="42">
        <f t="shared" si="16"/>
        <v>355.9190373</v>
      </c>
      <c r="S10" s="42">
        <f t="shared" si="16"/>
        <v>355.9190373</v>
      </c>
      <c r="T10" s="42">
        <f t="shared" si="16"/>
        <v>355.9190373</v>
      </c>
      <c r="U10" s="42">
        <f t="shared" si="16"/>
        <v>412.5101643</v>
      </c>
      <c r="V10" s="42">
        <f t="shared" si="16"/>
        <v>412.5101643</v>
      </c>
      <c r="W10" s="42">
        <f t="shared" si="16"/>
        <v>412.5101643</v>
      </c>
      <c r="X10" s="42">
        <f t="shared" si="16"/>
        <v>478.0992804</v>
      </c>
      <c r="Y10" s="42">
        <f t="shared" si="16"/>
        <v>478.0992804</v>
      </c>
      <c r="Z10" s="42">
        <f t="shared" si="16"/>
        <v>478.0992804</v>
      </c>
    </row>
    <row r="11">
      <c r="A11" s="4" t="s">
        <v>133</v>
      </c>
      <c r="B11" s="25">
        <v>767493.0</v>
      </c>
      <c r="C11" s="43">
        <f t="shared" ref="C11:Z11" si="17">iferror(C6*C4)</f>
        <v>842707.314</v>
      </c>
      <c r="D11" s="43">
        <f t="shared" si="17"/>
        <v>842707.314</v>
      </c>
      <c r="E11" s="43">
        <f t="shared" si="17"/>
        <v>842707.314</v>
      </c>
      <c r="F11" s="43">
        <f t="shared" si="17"/>
        <v>976697.7769</v>
      </c>
      <c r="G11" s="43">
        <f t="shared" si="17"/>
        <v>976697.7769</v>
      </c>
      <c r="H11" s="43">
        <f t="shared" si="17"/>
        <v>976697.7769</v>
      </c>
      <c r="I11" s="43">
        <f t="shared" si="17"/>
        <v>1131992.723</v>
      </c>
      <c r="J11" s="43">
        <f t="shared" si="17"/>
        <v>1131992.723</v>
      </c>
      <c r="K11" s="43">
        <f t="shared" si="17"/>
        <v>1131992.723</v>
      </c>
      <c r="L11" s="43">
        <f t="shared" si="17"/>
        <v>1311979.566</v>
      </c>
      <c r="M11" s="43">
        <f t="shared" si="17"/>
        <v>1311979.566</v>
      </c>
      <c r="N11" s="43">
        <f t="shared" si="17"/>
        <v>1311979.566</v>
      </c>
      <c r="O11" s="43">
        <f t="shared" si="17"/>
        <v>1520584.318</v>
      </c>
      <c r="P11" s="43">
        <f t="shared" si="17"/>
        <v>1520584.318</v>
      </c>
      <c r="Q11" s="43">
        <f t="shared" si="17"/>
        <v>1520584.318</v>
      </c>
      <c r="R11" s="43">
        <f t="shared" si="17"/>
        <v>1762357.224</v>
      </c>
      <c r="S11" s="43">
        <f t="shared" si="17"/>
        <v>1762357.224</v>
      </c>
      <c r="T11" s="43">
        <f t="shared" si="17"/>
        <v>1762357.224</v>
      </c>
      <c r="U11" s="43">
        <f t="shared" si="17"/>
        <v>2042572.023</v>
      </c>
      <c r="V11" s="43">
        <f t="shared" si="17"/>
        <v>2042572.023</v>
      </c>
      <c r="W11" s="43">
        <f t="shared" si="17"/>
        <v>2042572.023</v>
      </c>
      <c r="X11" s="43">
        <f t="shared" si="17"/>
        <v>2367340.974</v>
      </c>
      <c r="Y11" s="43">
        <f t="shared" si="17"/>
        <v>2367340.974</v>
      </c>
      <c r="Z11" s="43">
        <f t="shared" si="17"/>
        <v>2367340.974</v>
      </c>
    </row>
    <row r="12">
      <c r="A12" s="4" t="s">
        <v>134</v>
      </c>
      <c r="B12" s="28">
        <v>0.0</v>
      </c>
      <c r="C12" s="44">
        <f t="shared" ref="C12:Z12" si="18">iferror(C11+(B11*$B$12))</f>
        <v>842707.314</v>
      </c>
      <c r="D12" s="44">
        <f t="shared" si="18"/>
        <v>842707.314</v>
      </c>
      <c r="E12" s="44">
        <f t="shared" si="18"/>
        <v>842707.314</v>
      </c>
      <c r="F12" s="44">
        <f t="shared" si="18"/>
        <v>976697.7769</v>
      </c>
      <c r="G12" s="44">
        <f t="shared" si="18"/>
        <v>976697.7769</v>
      </c>
      <c r="H12" s="44">
        <f t="shared" si="18"/>
        <v>976697.7769</v>
      </c>
      <c r="I12" s="44">
        <f t="shared" si="18"/>
        <v>1131992.723</v>
      </c>
      <c r="J12" s="44">
        <f t="shared" si="18"/>
        <v>1131992.723</v>
      </c>
      <c r="K12" s="44">
        <f t="shared" si="18"/>
        <v>1131992.723</v>
      </c>
      <c r="L12" s="44">
        <f t="shared" si="18"/>
        <v>1311979.566</v>
      </c>
      <c r="M12" s="44">
        <f t="shared" si="18"/>
        <v>1311979.566</v>
      </c>
      <c r="N12" s="44">
        <f t="shared" si="18"/>
        <v>1311979.566</v>
      </c>
      <c r="O12" s="44">
        <f t="shared" si="18"/>
        <v>1520584.318</v>
      </c>
      <c r="P12" s="44">
        <f t="shared" si="18"/>
        <v>1520584.318</v>
      </c>
      <c r="Q12" s="44">
        <f t="shared" si="18"/>
        <v>1520584.318</v>
      </c>
      <c r="R12" s="44">
        <f t="shared" si="18"/>
        <v>1762357.224</v>
      </c>
      <c r="S12" s="44">
        <f t="shared" si="18"/>
        <v>1762357.224</v>
      </c>
      <c r="T12" s="44">
        <f t="shared" si="18"/>
        <v>1762357.224</v>
      </c>
      <c r="U12" s="44">
        <f t="shared" si="18"/>
        <v>2042572.023</v>
      </c>
      <c r="V12" s="44">
        <f t="shared" si="18"/>
        <v>2042572.023</v>
      </c>
      <c r="W12" s="44">
        <f t="shared" si="18"/>
        <v>2042572.023</v>
      </c>
      <c r="X12" s="44">
        <f t="shared" si="18"/>
        <v>2367340.974</v>
      </c>
      <c r="Y12" s="44">
        <f t="shared" si="18"/>
        <v>2367340.974</v>
      </c>
      <c r="Z12" s="44">
        <f t="shared" si="18"/>
        <v>2367340.974</v>
      </c>
    </row>
    <row r="13" ht="21.0" customHeight="1">
      <c r="A13" s="45" t="s">
        <v>135</v>
      </c>
      <c r="B13" s="46">
        <f t="shared" ref="B13:Z13" si="19">iferror(B11/B9)</f>
        <v>4951.567742</v>
      </c>
      <c r="C13" s="47">
        <f t="shared" si="19"/>
        <v>4951.567742</v>
      </c>
      <c r="D13" s="47">
        <f t="shared" si="19"/>
        <v>4951.567742</v>
      </c>
      <c r="E13" s="47">
        <f t="shared" si="19"/>
        <v>4951.567742</v>
      </c>
      <c r="F13" s="47">
        <f t="shared" si="19"/>
        <v>4951.567742</v>
      </c>
      <c r="G13" s="47">
        <f t="shared" si="19"/>
        <v>4951.567742</v>
      </c>
      <c r="H13" s="47">
        <f t="shared" si="19"/>
        <v>4951.567742</v>
      </c>
      <c r="I13" s="47">
        <f t="shared" si="19"/>
        <v>4951.567742</v>
      </c>
      <c r="J13" s="47">
        <f t="shared" si="19"/>
        <v>4951.567742</v>
      </c>
      <c r="K13" s="47">
        <f t="shared" si="19"/>
        <v>4951.567742</v>
      </c>
      <c r="L13" s="47">
        <f t="shared" si="19"/>
        <v>4951.567742</v>
      </c>
      <c r="M13" s="47">
        <f t="shared" si="19"/>
        <v>4951.567742</v>
      </c>
      <c r="N13" s="47">
        <f t="shared" si="19"/>
        <v>4951.567742</v>
      </c>
      <c r="O13" s="47">
        <f t="shared" si="19"/>
        <v>4951.567742</v>
      </c>
      <c r="P13" s="47">
        <f t="shared" si="19"/>
        <v>4951.567742</v>
      </c>
      <c r="Q13" s="47">
        <f t="shared" si="19"/>
        <v>4951.567742</v>
      </c>
      <c r="R13" s="47">
        <f t="shared" si="19"/>
        <v>4951.567742</v>
      </c>
      <c r="S13" s="47">
        <f t="shared" si="19"/>
        <v>4951.567742</v>
      </c>
      <c r="T13" s="47">
        <f t="shared" si="19"/>
        <v>4951.567742</v>
      </c>
      <c r="U13" s="47">
        <f t="shared" si="19"/>
        <v>4951.567742</v>
      </c>
      <c r="V13" s="47">
        <f t="shared" si="19"/>
        <v>4951.567742</v>
      </c>
      <c r="W13" s="47">
        <f t="shared" si="19"/>
        <v>4951.567742</v>
      </c>
      <c r="X13" s="47">
        <f t="shared" si="19"/>
        <v>4951.567742</v>
      </c>
      <c r="Y13" s="47">
        <f t="shared" si="19"/>
        <v>4951.567742</v>
      </c>
      <c r="Z13" s="48">
        <f t="shared" si="19"/>
        <v>4951.567742</v>
      </c>
    </row>
    <row r="14" ht="23.25" customHeight="1">
      <c r="A14" s="37" t="s">
        <v>136</v>
      </c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</row>
    <row r="15">
      <c r="A15" s="52" t="s">
        <v>137</v>
      </c>
      <c r="B15" s="53"/>
      <c r="C15" s="54">
        <f t="shared" ref="C15:Z15" si="20">(B15/B9)*C9</f>
        <v>0</v>
      </c>
      <c r="D15" s="54">
        <f t="shared" si="20"/>
        <v>0</v>
      </c>
      <c r="E15" s="54">
        <f t="shared" si="20"/>
        <v>0</v>
      </c>
      <c r="F15" s="54">
        <f t="shared" si="20"/>
        <v>0</v>
      </c>
      <c r="G15" s="54">
        <f t="shared" si="20"/>
        <v>0</v>
      </c>
      <c r="H15" s="54">
        <f t="shared" si="20"/>
        <v>0</v>
      </c>
      <c r="I15" s="54">
        <f t="shared" si="20"/>
        <v>0</v>
      </c>
      <c r="J15" s="54">
        <f t="shared" si="20"/>
        <v>0</v>
      </c>
      <c r="K15" s="54">
        <f t="shared" si="20"/>
        <v>0</v>
      </c>
      <c r="L15" s="54">
        <f t="shared" si="20"/>
        <v>0</v>
      </c>
      <c r="M15" s="54">
        <f t="shared" si="20"/>
        <v>0</v>
      </c>
      <c r="N15" s="54">
        <f t="shared" si="20"/>
        <v>0</v>
      </c>
      <c r="O15" s="54">
        <f t="shared" si="20"/>
        <v>0</v>
      </c>
      <c r="P15" s="54">
        <f t="shared" si="20"/>
        <v>0</v>
      </c>
      <c r="Q15" s="54">
        <f t="shared" si="20"/>
        <v>0</v>
      </c>
      <c r="R15" s="54">
        <f t="shared" si="20"/>
        <v>0</v>
      </c>
      <c r="S15" s="54">
        <f t="shared" si="20"/>
        <v>0</v>
      </c>
      <c r="T15" s="54">
        <f t="shared" si="20"/>
        <v>0</v>
      </c>
      <c r="U15" s="54">
        <f t="shared" si="20"/>
        <v>0</v>
      </c>
      <c r="V15" s="54">
        <f t="shared" si="20"/>
        <v>0</v>
      </c>
      <c r="W15" s="54">
        <f t="shared" si="20"/>
        <v>0</v>
      </c>
      <c r="X15" s="54">
        <f t="shared" si="20"/>
        <v>0</v>
      </c>
      <c r="Y15" s="54">
        <f t="shared" si="20"/>
        <v>0</v>
      </c>
      <c r="Z15" s="54">
        <f t="shared" si="20"/>
        <v>0</v>
      </c>
    </row>
    <row r="16">
      <c r="A16" s="55" t="s">
        <v>138</v>
      </c>
      <c r="B16" s="56"/>
      <c r="C16" s="57">
        <f t="shared" ref="C16:C17" si="22">$C$12*(B16/$B$11)</f>
        <v>0</v>
      </c>
      <c r="D16" s="57">
        <f t="shared" ref="D16:Z16" si="21">D12*(C16/C12)</f>
        <v>0</v>
      </c>
      <c r="E16" s="57">
        <f t="shared" si="21"/>
        <v>0</v>
      </c>
      <c r="F16" s="57">
        <f t="shared" si="21"/>
        <v>0</v>
      </c>
      <c r="G16" s="57">
        <f t="shared" si="21"/>
        <v>0</v>
      </c>
      <c r="H16" s="57">
        <f t="shared" si="21"/>
        <v>0</v>
      </c>
      <c r="I16" s="57">
        <f t="shared" si="21"/>
        <v>0</v>
      </c>
      <c r="J16" s="57">
        <f t="shared" si="21"/>
        <v>0</v>
      </c>
      <c r="K16" s="57">
        <f t="shared" si="21"/>
        <v>0</v>
      </c>
      <c r="L16" s="57">
        <f t="shared" si="21"/>
        <v>0</v>
      </c>
      <c r="M16" s="57">
        <f t="shared" si="21"/>
        <v>0</v>
      </c>
      <c r="N16" s="57">
        <f t="shared" si="21"/>
        <v>0</v>
      </c>
      <c r="O16" s="57">
        <f t="shared" si="21"/>
        <v>0</v>
      </c>
      <c r="P16" s="57">
        <f t="shared" si="21"/>
        <v>0</v>
      </c>
      <c r="Q16" s="57">
        <f t="shared" si="21"/>
        <v>0</v>
      </c>
      <c r="R16" s="57">
        <f t="shared" si="21"/>
        <v>0</v>
      </c>
      <c r="S16" s="57">
        <f t="shared" si="21"/>
        <v>0</v>
      </c>
      <c r="T16" s="57">
        <f t="shared" si="21"/>
        <v>0</v>
      </c>
      <c r="U16" s="57">
        <f t="shared" si="21"/>
        <v>0</v>
      </c>
      <c r="V16" s="57">
        <f t="shared" si="21"/>
        <v>0</v>
      </c>
      <c r="W16" s="57">
        <f t="shared" si="21"/>
        <v>0</v>
      </c>
      <c r="X16" s="57">
        <f t="shared" si="21"/>
        <v>0</v>
      </c>
      <c r="Y16" s="57">
        <f t="shared" si="21"/>
        <v>0</v>
      </c>
      <c r="Z16" s="57">
        <f t="shared" si="21"/>
        <v>0</v>
      </c>
    </row>
    <row r="17">
      <c r="A17" s="55" t="s">
        <v>139</v>
      </c>
      <c r="B17" s="56">
        <f>B11*0.6</f>
        <v>460495.8</v>
      </c>
      <c r="C17" s="57">
        <f t="shared" si="22"/>
        <v>505624.3884</v>
      </c>
      <c r="D17" s="57">
        <f t="shared" ref="D17:Z17" si="23">(C17/C12)*D12</f>
        <v>505624.3884</v>
      </c>
      <c r="E17" s="57">
        <f t="shared" si="23"/>
        <v>505624.3884</v>
      </c>
      <c r="F17" s="57">
        <f t="shared" si="23"/>
        <v>586018.6662</v>
      </c>
      <c r="G17" s="57">
        <f t="shared" si="23"/>
        <v>586018.6662</v>
      </c>
      <c r="H17" s="57">
        <f t="shared" si="23"/>
        <v>586018.6662</v>
      </c>
      <c r="I17" s="57">
        <f t="shared" si="23"/>
        <v>679195.6341</v>
      </c>
      <c r="J17" s="57">
        <f t="shared" si="23"/>
        <v>679195.6341</v>
      </c>
      <c r="K17" s="57">
        <f t="shared" si="23"/>
        <v>679195.6341</v>
      </c>
      <c r="L17" s="57">
        <f t="shared" si="23"/>
        <v>787187.7399</v>
      </c>
      <c r="M17" s="57">
        <f t="shared" si="23"/>
        <v>787187.7399</v>
      </c>
      <c r="N17" s="57">
        <f t="shared" si="23"/>
        <v>787187.7399</v>
      </c>
      <c r="O17" s="57">
        <f t="shared" si="23"/>
        <v>912350.5905</v>
      </c>
      <c r="P17" s="57">
        <f t="shared" si="23"/>
        <v>912350.5905</v>
      </c>
      <c r="Q17" s="57">
        <f t="shared" si="23"/>
        <v>912350.5905</v>
      </c>
      <c r="R17" s="57">
        <f t="shared" si="23"/>
        <v>1057414.334</v>
      </c>
      <c r="S17" s="57">
        <f t="shared" si="23"/>
        <v>1057414.334</v>
      </c>
      <c r="T17" s="57">
        <f t="shared" si="23"/>
        <v>1057414.334</v>
      </c>
      <c r="U17" s="57">
        <f t="shared" si="23"/>
        <v>1225543.214</v>
      </c>
      <c r="V17" s="57">
        <f t="shared" si="23"/>
        <v>1225543.214</v>
      </c>
      <c r="W17" s="57">
        <f t="shared" si="23"/>
        <v>1225543.214</v>
      </c>
      <c r="X17" s="57">
        <f t="shared" si="23"/>
        <v>1420404.585</v>
      </c>
      <c r="Y17" s="57">
        <f t="shared" si="23"/>
        <v>1420404.585</v>
      </c>
      <c r="Z17" s="57">
        <f t="shared" si="23"/>
        <v>1420404.585</v>
      </c>
    </row>
    <row r="18">
      <c r="A18" s="55" t="s">
        <v>140</v>
      </c>
      <c r="B18" s="56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59" t="s">
        <v>141</v>
      </c>
      <c r="B19" s="60"/>
      <c r="C19" s="61">
        <f>$C$12*(B19/$B$11)</f>
        <v>0</v>
      </c>
      <c r="D19" s="61">
        <f t="shared" ref="D19:Z19" si="24">(C19/C12)*D12</f>
        <v>0</v>
      </c>
      <c r="E19" s="61">
        <f t="shared" si="24"/>
        <v>0</v>
      </c>
      <c r="F19" s="61">
        <f t="shared" si="24"/>
        <v>0</v>
      </c>
      <c r="G19" s="61">
        <f t="shared" si="24"/>
        <v>0</v>
      </c>
      <c r="H19" s="61">
        <f t="shared" si="24"/>
        <v>0</v>
      </c>
      <c r="I19" s="61">
        <f t="shared" si="24"/>
        <v>0</v>
      </c>
      <c r="J19" s="61">
        <f t="shared" si="24"/>
        <v>0</v>
      </c>
      <c r="K19" s="61">
        <f t="shared" si="24"/>
        <v>0</v>
      </c>
      <c r="L19" s="61">
        <f t="shared" si="24"/>
        <v>0</v>
      </c>
      <c r="M19" s="61">
        <f t="shared" si="24"/>
        <v>0</v>
      </c>
      <c r="N19" s="61">
        <f t="shared" si="24"/>
        <v>0</v>
      </c>
      <c r="O19" s="61">
        <f t="shared" si="24"/>
        <v>0</v>
      </c>
      <c r="P19" s="61">
        <f t="shared" si="24"/>
        <v>0</v>
      </c>
      <c r="Q19" s="61">
        <f t="shared" si="24"/>
        <v>0</v>
      </c>
      <c r="R19" s="61">
        <f t="shared" si="24"/>
        <v>0</v>
      </c>
      <c r="S19" s="61">
        <f t="shared" si="24"/>
        <v>0</v>
      </c>
      <c r="T19" s="61">
        <f t="shared" si="24"/>
        <v>0</v>
      </c>
      <c r="U19" s="61">
        <f t="shared" si="24"/>
        <v>0</v>
      </c>
      <c r="V19" s="61">
        <f t="shared" si="24"/>
        <v>0</v>
      </c>
      <c r="W19" s="61">
        <f t="shared" si="24"/>
        <v>0</v>
      </c>
      <c r="X19" s="61">
        <f t="shared" si="24"/>
        <v>0</v>
      </c>
      <c r="Y19" s="61">
        <f t="shared" si="24"/>
        <v>0</v>
      </c>
      <c r="Z19" s="61">
        <f t="shared" si="24"/>
        <v>0</v>
      </c>
    </row>
    <row r="20" ht="21.0" customHeight="1">
      <c r="A20" s="62" t="s">
        <v>142</v>
      </c>
      <c r="B20" s="63">
        <f>SUM(B15:B19)</f>
        <v>460495.8</v>
      </c>
      <c r="C20" s="64">
        <f t="shared" ref="C20:Z20" si="25">iferror(SUM(C15:C19))</f>
        <v>505624.3884</v>
      </c>
      <c r="D20" s="64">
        <f t="shared" si="25"/>
        <v>505624.3884</v>
      </c>
      <c r="E20" s="64">
        <f t="shared" si="25"/>
        <v>505624.3884</v>
      </c>
      <c r="F20" s="64">
        <f t="shared" si="25"/>
        <v>586018.6662</v>
      </c>
      <c r="G20" s="64">
        <f t="shared" si="25"/>
        <v>586018.6662</v>
      </c>
      <c r="H20" s="64">
        <f t="shared" si="25"/>
        <v>586018.6662</v>
      </c>
      <c r="I20" s="64">
        <f t="shared" si="25"/>
        <v>679195.6341</v>
      </c>
      <c r="J20" s="64">
        <f t="shared" si="25"/>
        <v>679195.6341</v>
      </c>
      <c r="K20" s="64">
        <f t="shared" si="25"/>
        <v>679195.6341</v>
      </c>
      <c r="L20" s="64">
        <f t="shared" si="25"/>
        <v>787187.7399</v>
      </c>
      <c r="M20" s="64">
        <f t="shared" si="25"/>
        <v>787187.7399</v>
      </c>
      <c r="N20" s="64">
        <f t="shared" si="25"/>
        <v>787187.7399</v>
      </c>
      <c r="O20" s="64">
        <f t="shared" si="25"/>
        <v>912350.5905</v>
      </c>
      <c r="P20" s="64">
        <f t="shared" si="25"/>
        <v>912350.5905</v>
      </c>
      <c r="Q20" s="64">
        <f t="shared" si="25"/>
        <v>912350.5905</v>
      </c>
      <c r="R20" s="64">
        <f t="shared" si="25"/>
        <v>1057414.334</v>
      </c>
      <c r="S20" s="64">
        <f t="shared" si="25"/>
        <v>1057414.334</v>
      </c>
      <c r="T20" s="64">
        <f t="shared" si="25"/>
        <v>1057414.334</v>
      </c>
      <c r="U20" s="64">
        <f t="shared" si="25"/>
        <v>1225543.214</v>
      </c>
      <c r="V20" s="64">
        <f t="shared" si="25"/>
        <v>1225543.214</v>
      </c>
      <c r="W20" s="64">
        <f t="shared" si="25"/>
        <v>1225543.214</v>
      </c>
      <c r="X20" s="64">
        <f t="shared" si="25"/>
        <v>1420404.585</v>
      </c>
      <c r="Y20" s="64">
        <f t="shared" si="25"/>
        <v>1420404.585</v>
      </c>
      <c r="Z20" s="65">
        <f t="shared" si="25"/>
        <v>1420404.585</v>
      </c>
    </row>
    <row r="21" ht="21.0" customHeight="1">
      <c r="A21" s="66" t="s">
        <v>143</v>
      </c>
      <c r="B21" s="67">
        <f>B11-B20</f>
        <v>306997.2</v>
      </c>
      <c r="C21" s="68">
        <f t="shared" ref="C21:Z21" si="26">C12-C20</f>
        <v>337082.9256</v>
      </c>
      <c r="D21" s="68">
        <f t="shared" si="26"/>
        <v>337082.9256</v>
      </c>
      <c r="E21" s="68">
        <f t="shared" si="26"/>
        <v>337082.9256</v>
      </c>
      <c r="F21" s="68">
        <f t="shared" si="26"/>
        <v>390679.1108</v>
      </c>
      <c r="G21" s="68">
        <f t="shared" si="26"/>
        <v>390679.1108</v>
      </c>
      <c r="H21" s="68">
        <f t="shared" si="26"/>
        <v>390679.1108</v>
      </c>
      <c r="I21" s="68">
        <f t="shared" si="26"/>
        <v>452797.0894</v>
      </c>
      <c r="J21" s="68">
        <f t="shared" si="26"/>
        <v>452797.0894</v>
      </c>
      <c r="K21" s="68">
        <f t="shared" si="26"/>
        <v>452797.0894</v>
      </c>
      <c r="L21" s="68">
        <f t="shared" si="26"/>
        <v>524791.8266</v>
      </c>
      <c r="M21" s="68">
        <f t="shared" si="26"/>
        <v>524791.8266</v>
      </c>
      <c r="N21" s="68">
        <f t="shared" si="26"/>
        <v>524791.8266</v>
      </c>
      <c r="O21" s="68">
        <f t="shared" si="26"/>
        <v>608233.727</v>
      </c>
      <c r="P21" s="68">
        <f t="shared" si="26"/>
        <v>608233.727</v>
      </c>
      <c r="Q21" s="68">
        <f t="shared" si="26"/>
        <v>608233.727</v>
      </c>
      <c r="R21" s="68">
        <f t="shared" si="26"/>
        <v>704942.8896</v>
      </c>
      <c r="S21" s="68">
        <f t="shared" si="26"/>
        <v>704942.8896</v>
      </c>
      <c r="T21" s="68">
        <f t="shared" si="26"/>
        <v>704942.8896</v>
      </c>
      <c r="U21" s="68">
        <f t="shared" si="26"/>
        <v>817028.8091</v>
      </c>
      <c r="V21" s="68">
        <f t="shared" si="26"/>
        <v>817028.8091</v>
      </c>
      <c r="W21" s="68">
        <f t="shared" si="26"/>
        <v>817028.8091</v>
      </c>
      <c r="X21" s="68">
        <f t="shared" si="26"/>
        <v>946936.3897</v>
      </c>
      <c r="Y21" s="68">
        <f t="shared" si="26"/>
        <v>946936.3897</v>
      </c>
      <c r="Z21" s="69">
        <f t="shared" si="26"/>
        <v>946936.3897</v>
      </c>
    </row>
    <row r="22" ht="21.0" customHeight="1">
      <c r="A22" s="62" t="s">
        <v>144</v>
      </c>
      <c r="B22" s="70">
        <f>iferror(B21/B11)</f>
        <v>0.4</v>
      </c>
      <c r="C22" s="70">
        <f t="shared" ref="C22:Z22" si="27">C21/C12</f>
        <v>0.4</v>
      </c>
      <c r="D22" s="70">
        <f t="shared" si="27"/>
        <v>0.4</v>
      </c>
      <c r="E22" s="70">
        <f t="shared" si="27"/>
        <v>0.4</v>
      </c>
      <c r="F22" s="70">
        <f t="shared" si="27"/>
        <v>0.4</v>
      </c>
      <c r="G22" s="70">
        <f t="shared" si="27"/>
        <v>0.4</v>
      </c>
      <c r="H22" s="70">
        <f t="shared" si="27"/>
        <v>0.4</v>
      </c>
      <c r="I22" s="70">
        <f t="shared" si="27"/>
        <v>0.4</v>
      </c>
      <c r="J22" s="70">
        <f t="shared" si="27"/>
        <v>0.4</v>
      </c>
      <c r="K22" s="70">
        <f t="shared" si="27"/>
        <v>0.4</v>
      </c>
      <c r="L22" s="70">
        <f t="shared" si="27"/>
        <v>0.4</v>
      </c>
      <c r="M22" s="70">
        <f t="shared" si="27"/>
        <v>0.4</v>
      </c>
      <c r="N22" s="70">
        <f t="shared" si="27"/>
        <v>0.4</v>
      </c>
      <c r="O22" s="70">
        <f t="shared" si="27"/>
        <v>0.4</v>
      </c>
      <c r="P22" s="70">
        <f t="shared" si="27"/>
        <v>0.4</v>
      </c>
      <c r="Q22" s="70">
        <f t="shared" si="27"/>
        <v>0.4</v>
      </c>
      <c r="R22" s="70">
        <f t="shared" si="27"/>
        <v>0.4</v>
      </c>
      <c r="S22" s="70">
        <f t="shared" si="27"/>
        <v>0.4</v>
      </c>
      <c r="T22" s="70">
        <f t="shared" si="27"/>
        <v>0.4</v>
      </c>
      <c r="U22" s="70">
        <f t="shared" si="27"/>
        <v>0.4</v>
      </c>
      <c r="V22" s="70">
        <f t="shared" si="27"/>
        <v>0.4</v>
      </c>
      <c r="W22" s="70">
        <f t="shared" si="27"/>
        <v>0.4</v>
      </c>
      <c r="X22" s="70">
        <f t="shared" si="27"/>
        <v>0.4</v>
      </c>
      <c r="Y22" s="70">
        <f t="shared" si="27"/>
        <v>0.4</v>
      </c>
      <c r="Z22" s="70">
        <f t="shared" si="27"/>
        <v>0.4</v>
      </c>
    </row>
    <row r="23" ht="23.25" customHeight="1">
      <c r="A23" s="37" t="s">
        <v>145</v>
      </c>
      <c r="B23" s="71">
        <f t="shared" ref="B23:Z23" si="28">SUM(B24:B30)</f>
        <v>7145</v>
      </c>
      <c r="C23" s="72">
        <f t="shared" si="28"/>
        <v>7145</v>
      </c>
      <c r="D23" s="72">
        <f t="shared" si="28"/>
        <v>7145</v>
      </c>
      <c r="E23" s="72">
        <f t="shared" si="28"/>
        <v>7145</v>
      </c>
      <c r="F23" s="72">
        <f t="shared" si="28"/>
        <v>8100</v>
      </c>
      <c r="G23" s="72">
        <f t="shared" si="28"/>
        <v>8100</v>
      </c>
      <c r="H23" s="72">
        <f t="shared" si="28"/>
        <v>8100</v>
      </c>
      <c r="I23" s="72">
        <f t="shared" si="28"/>
        <v>8100</v>
      </c>
      <c r="J23" s="72">
        <f t="shared" si="28"/>
        <v>4000</v>
      </c>
      <c r="K23" s="72">
        <f t="shared" si="28"/>
        <v>4000</v>
      </c>
      <c r="L23" s="72">
        <f t="shared" si="28"/>
        <v>4000</v>
      </c>
      <c r="M23" s="72">
        <f t="shared" si="28"/>
        <v>4000</v>
      </c>
      <c r="N23" s="72">
        <f t="shared" si="28"/>
        <v>4000</v>
      </c>
      <c r="O23" s="72">
        <f t="shared" si="28"/>
        <v>4000</v>
      </c>
      <c r="P23" s="72">
        <f t="shared" si="28"/>
        <v>4000</v>
      </c>
      <c r="Q23" s="72">
        <f t="shared" si="28"/>
        <v>4000</v>
      </c>
      <c r="R23" s="72">
        <f t="shared" si="28"/>
        <v>4000</v>
      </c>
      <c r="S23" s="72">
        <f t="shared" si="28"/>
        <v>4000</v>
      </c>
      <c r="T23" s="72">
        <f t="shared" si="28"/>
        <v>4000</v>
      </c>
      <c r="U23" s="72">
        <f t="shared" si="28"/>
        <v>4000</v>
      </c>
      <c r="V23" s="72">
        <f t="shared" si="28"/>
        <v>4000</v>
      </c>
      <c r="W23" s="72">
        <f t="shared" si="28"/>
        <v>4000</v>
      </c>
      <c r="X23" s="72">
        <f t="shared" si="28"/>
        <v>4000</v>
      </c>
      <c r="Y23" s="72">
        <f t="shared" si="28"/>
        <v>4000</v>
      </c>
      <c r="Z23" s="73">
        <f t="shared" si="28"/>
        <v>4000</v>
      </c>
    </row>
    <row r="24">
      <c r="A24" s="74" t="s">
        <v>146</v>
      </c>
      <c r="B24" s="53">
        <v>5000.0</v>
      </c>
      <c r="C24" s="75">
        <f t="shared" ref="C24:E24" si="29">B24</f>
        <v>5000</v>
      </c>
      <c r="D24" s="75">
        <f t="shared" si="29"/>
        <v>5000</v>
      </c>
      <c r="E24" s="75">
        <f t="shared" si="29"/>
        <v>5000</v>
      </c>
      <c r="F24" s="53">
        <v>5000.0</v>
      </c>
      <c r="G24" s="75">
        <f t="shared" ref="G24:I24" si="30">F24</f>
        <v>5000</v>
      </c>
      <c r="H24" s="75">
        <f t="shared" si="30"/>
        <v>5000</v>
      </c>
      <c r="I24" s="75">
        <f t="shared" si="30"/>
        <v>5000</v>
      </c>
      <c r="J24" s="53">
        <v>4000.0</v>
      </c>
      <c r="K24" s="75">
        <f t="shared" ref="K24:K30" si="36">J24</f>
        <v>4000</v>
      </c>
      <c r="L24" s="75">
        <f t="shared" ref="L24:L30" si="37">J24</f>
        <v>4000</v>
      </c>
      <c r="M24" s="75">
        <f t="shared" ref="M24:M30" si="38">J24</f>
        <v>4000</v>
      </c>
      <c r="N24" s="53">
        <v>4000.0</v>
      </c>
      <c r="O24" s="75">
        <f t="shared" ref="O24:Q24" si="31">N24</f>
        <v>4000</v>
      </c>
      <c r="P24" s="75">
        <f t="shared" si="31"/>
        <v>4000</v>
      </c>
      <c r="Q24" s="75">
        <f t="shared" si="31"/>
        <v>4000</v>
      </c>
      <c r="R24" s="53">
        <v>4000.0</v>
      </c>
      <c r="S24" s="75">
        <f t="shared" ref="S24:U24" si="32">R24</f>
        <v>4000</v>
      </c>
      <c r="T24" s="75">
        <f t="shared" si="32"/>
        <v>4000</v>
      </c>
      <c r="U24" s="75">
        <f t="shared" si="32"/>
        <v>4000</v>
      </c>
      <c r="V24" s="53">
        <v>4000.0</v>
      </c>
      <c r="W24" s="75">
        <f t="shared" ref="W24:Y24" si="33">V24</f>
        <v>4000</v>
      </c>
      <c r="X24" s="75">
        <f t="shared" si="33"/>
        <v>4000</v>
      </c>
      <c r="Y24" s="75">
        <f t="shared" si="33"/>
        <v>4000</v>
      </c>
      <c r="Z24" s="53">
        <v>4000.0</v>
      </c>
    </row>
    <row r="25">
      <c r="A25" s="74" t="s">
        <v>147</v>
      </c>
      <c r="B25" s="56">
        <v>2145.0</v>
      </c>
      <c r="C25" s="76">
        <f t="shared" ref="C25:E25" si="34">B25</f>
        <v>2145</v>
      </c>
      <c r="D25" s="76">
        <f t="shared" si="34"/>
        <v>2145</v>
      </c>
      <c r="E25" s="76">
        <f t="shared" si="34"/>
        <v>2145</v>
      </c>
      <c r="F25" s="56">
        <v>3100.0</v>
      </c>
      <c r="G25" s="76">
        <f t="shared" ref="G25:I25" si="35">F25</f>
        <v>3100</v>
      </c>
      <c r="H25" s="76">
        <f t="shared" si="35"/>
        <v>3100</v>
      </c>
      <c r="I25" s="76">
        <f t="shared" si="35"/>
        <v>3100</v>
      </c>
      <c r="J25" s="56">
        <v>0.0</v>
      </c>
      <c r="K25" s="76">
        <f t="shared" si="36"/>
        <v>0</v>
      </c>
      <c r="L25" s="76">
        <f t="shared" si="37"/>
        <v>0</v>
      </c>
      <c r="M25" s="76">
        <f t="shared" si="38"/>
        <v>0</v>
      </c>
      <c r="N25" s="56">
        <v>0.0</v>
      </c>
      <c r="O25" s="76">
        <f t="shared" ref="O25:Q25" si="39">N25</f>
        <v>0</v>
      </c>
      <c r="P25" s="76">
        <f t="shared" si="39"/>
        <v>0</v>
      </c>
      <c r="Q25" s="76">
        <f t="shared" si="39"/>
        <v>0</v>
      </c>
      <c r="R25" s="56">
        <v>0.0</v>
      </c>
      <c r="S25" s="76">
        <f t="shared" ref="S25:U25" si="40">R25</f>
        <v>0</v>
      </c>
      <c r="T25" s="76">
        <f t="shared" si="40"/>
        <v>0</v>
      </c>
      <c r="U25" s="76">
        <f t="shared" si="40"/>
        <v>0</v>
      </c>
      <c r="V25" s="56">
        <v>0.0</v>
      </c>
      <c r="W25" s="76">
        <f t="shared" ref="W25:Y25" si="41">V25</f>
        <v>0</v>
      </c>
      <c r="X25" s="76">
        <f t="shared" si="41"/>
        <v>0</v>
      </c>
      <c r="Y25" s="76">
        <f t="shared" si="41"/>
        <v>0</v>
      </c>
      <c r="Z25" s="56">
        <v>0.0</v>
      </c>
    </row>
    <row r="26">
      <c r="A26" s="74" t="s">
        <v>148</v>
      </c>
      <c r="B26" s="56">
        <v>0.0</v>
      </c>
      <c r="C26" s="76">
        <f t="shared" ref="C26:E26" si="42">B26</f>
        <v>0</v>
      </c>
      <c r="D26" s="76">
        <f t="shared" si="42"/>
        <v>0</v>
      </c>
      <c r="E26" s="76">
        <f t="shared" si="42"/>
        <v>0</v>
      </c>
      <c r="F26" s="56">
        <v>0.0</v>
      </c>
      <c r="G26" s="76">
        <f t="shared" ref="G26:I26" si="43">F26</f>
        <v>0</v>
      </c>
      <c r="H26" s="76">
        <f t="shared" si="43"/>
        <v>0</v>
      </c>
      <c r="I26" s="76">
        <f t="shared" si="43"/>
        <v>0</v>
      </c>
      <c r="J26" s="56">
        <v>0.0</v>
      </c>
      <c r="K26" s="76">
        <f t="shared" si="36"/>
        <v>0</v>
      </c>
      <c r="L26" s="76">
        <f t="shared" si="37"/>
        <v>0</v>
      </c>
      <c r="M26" s="76">
        <f t="shared" si="38"/>
        <v>0</v>
      </c>
      <c r="N26" s="56">
        <v>0.0</v>
      </c>
      <c r="O26" s="76">
        <f t="shared" ref="O26:Q26" si="44">N26</f>
        <v>0</v>
      </c>
      <c r="P26" s="76">
        <f t="shared" si="44"/>
        <v>0</v>
      </c>
      <c r="Q26" s="76">
        <f t="shared" si="44"/>
        <v>0</v>
      </c>
      <c r="R26" s="56">
        <v>0.0</v>
      </c>
      <c r="S26" s="76">
        <f t="shared" ref="S26:U26" si="45">R26</f>
        <v>0</v>
      </c>
      <c r="T26" s="76">
        <f t="shared" si="45"/>
        <v>0</v>
      </c>
      <c r="U26" s="76">
        <f t="shared" si="45"/>
        <v>0</v>
      </c>
      <c r="V26" s="56">
        <v>0.0</v>
      </c>
      <c r="W26" s="76">
        <f t="shared" ref="W26:Y26" si="46">V26</f>
        <v>0</v>
      </c>
      <c r="X26" s="76">
        <f t="shared" si="46"/>
        <v>0</v>
      </c>
      <c r="Y26" s="76">
        <f t="shared" si="46"/>
        <v>0</v>
      </c>
      <c r="Z26" s="56">
        <v>0.0</v>
      </c>
    </row>
    <row r="27">
      <c r="A27" s="74" t="s">
        <v>149</v>
      </c>
      <c r="B27" s="56">
        <v>0.0</v>
      </c>
      <c r="C27" s="76">
        <f t="shared" ref="C27:E27" si="47">B27</f>
        <v>0</v>
      </c>
      <c r="D27" s="76">
        <f t="shared" si="47"/>
        <v>0</v>
      </c>
      <c r="E27" s="76">
        <f t="shared" si="47"/>
        <v>0</v>
      </c>
      <c r="F27" s="56">
        <v>0.0</v>
      </c>
      <c r="G27" s="76">
        <f t="shared" ref="G27:I27" si="48">F27</f>
        <v>0</v>
      </c>
      <c r="H27" s="76">
        <f t="shared" si="48"/>
        <v>0</v>
      </c>
      <c r="I27" s="76">
        <f t="shared" si="48"/>
        <v>0</v>
      </c>
      <c r="J27" s="56">
        <v>0.0</v>
      </c>
      <c r="K27" s="76">
        <f t="shared" si="36"/>
        <v>0</v>
      </c>
      <c r="L27" s="76">
        <f t="shared" si="37"/>
        <v>0</v>
      </c>
      <c r="M27" s="76">
        <f t="shared" si="38"/>
        <v>0</v>
      </c>
      <c r="N27" s="56">
        <v>0.0</v>
      </c>
      <c r="O27" s="76">
        <f t="shared" ref="O27:Q27" si="49">N27</f>
        <v>0</v>
      </c>
      <c r="P27" s="76">
        <f t="shared" si="49"/>
        <v>0</v>
      </c>
      <c r="Q27" s="76">
        <f t="shared" si="49"/>
        <v>0</v>
      </c>
      <c r="R27" s="56">
        <v>0.0</v>
      </c>
      <c r="S27" s="76">
        <f t="shared" ref="S27:U27" si="50">R27</f>
        <v>0</v>
      </c>
      <c r="T27" s="76">
        <f t="shared" si="50"/>
        <v>0</v>
      </c>
      <c r="U27" s="76">
        <f t="shared" si="50"/>
        <v>0</v>
      </c>
      <c r="V27" s="56">
        <v>0.0</v>
      </c>
      <c r="W27" s="76">
        <f t="shared" ref="W27:Y27" si="51">V27</f>
        <v>0</v>
      </c>
      <c r="X27" s="76">
        <f t="shared" si="51"/>
        <v>0</v>
      </c>
      <c r="Y27" s="76">
        <f t="shared" si="51"/>
        <v>0</v>
      </c>
      <c r="Z27" s="56">
        <v>0.0</v>
      </c>
    </row>
    <row r="28">
      <c r="A28" s="74" t="s">
        <v>150</v>
      </c>
      <c r="B28" s="56"/>
      <c r="C28" s="76" t="str">
        <f t="shared" ref="C28:E28" si="52">B28</f>
        <v/>
      </c>
      <c r="D28" s="76" t="str">
        <f t="shared" si="52"/>
        <v/>
      </c>
      <c r="E28" s="76" t="str">
        <f t="shared" si="52"/>
        <v/>
      </c>
      <c r="F28" s="56"/>
      <c r="G28" s="76" t="str">
        <f t="shared" ref="G28:I28" si="53">F28</f>
        <v/>
      </c>
      <c r="H28" s="76" t="str">
        <f t="shared" si="53"/>
        <v/>
      </c>
      <c r="I28" s="76" t="str">
        <f t="shared" si="53"/>
        <v/>
      </c>
      <c r="J28" s="56"/>
      <c r="K28" s="76" t="str">
        <f t="shared" si="36"/>
        <v/>
      </c>
      <c r="L28" s="76" t="str">
        <f t="shared" si="37"/>
        <v/>
      </c>
      <c r="M28" s="76" t="str">
        <f t="shared" si="38"/>
        <v/>
      </c>
      <c r="N28" s="56"/>
      <c r="O28" s="76" t="str">
        <f t="shared" ref="O28:Q28" si="54">N28</f>
        <v/>
      </c>
      <c r="P28" s="76" t="str">
        <f t="shared" si="54"/>
        <v/>
      </c>
      <c r="Q28" s="76" t="str">
        <f t="shared" si="54"/>
        <v/>
      </c>
      <c r="R28" s="56"/>
      <c r="S28" s="76" t="str">
        <f t="shared" ref="S28:U28" si="55">R28</f>
        <v/>
      </c>
      <c r="T28" s="76" t="str">
        <f t="shared" si="55"/>
        <v/>
      </c>
      <c r="U28" s="76" t="str">
        <f t="shared" si="55"/>
        <v/>
      </c>
      <c r="V28" s="56"/>
      <c r="W28" s="76" t="str">
        <f t="shared" ref="W28:X28" si="56">V28</f>
        <v/>
      </c>
      <c r="X28" s="76" t="str">
        <f t="shared" si="56"/>
        <v/>
      </c>
      <c r="Y28" s="76"/>
      <c r="Z28" s="56"/>
    </row>
    <row r="29">
      <c r="A29" s="74" t="s">
        <v>151</v>
      </c>
      <c r="B29" s="56">
        <v>0.0</v>
      </c>
      <c r="C29" s="76">
        <f t="shared" ref="C29:E29" si="57">B29</f>
        <v>0</v>
      </c>
      <c r="D29" s="76">
        <f t="shared" si="57"/>
        <v>0</v>
      </c>
      <c r="E29" s="76">
        <f t="shared" si="57"/>
        <v>0</v>
      </c>
      <c r="F29" s="56">
        <v>0.0</v>
      </c>
      <c r="G29" s="76">
        <f t="shared" ref="G29:I29" si="58">F29</f>
        <v>0</v>
      </c>
      <c r="H29" s="76">
        <f t="shared" si="58"/>
        <v>0</v>
      </c>
      <c r="I29" s="76">
        <f t="shared" si="58"/>
        <v>0</v>
      </c>
      <c r="J29" s="56">
        <v>0.0</v>
      </c>
      <c r="K29" s="76">
        <f t="shared" si="36"/>
        <v>0</v>
      </c>
      <c r="L29" s="76">
        <f t="shared" si="37"/>
        <v>0</v>
      </c>
      <c r="M29" s="76">
        <f t="shared" si="38"/>
        <v>0</v>
      </c>
      <c r="N29" s="56">
        <v>0.0</v>
      </c>
      <c r="O29" s="76">
        <f t="shared" ref="O29:Q29" si="59">N29</f>
        <v>0</v>
      </c>
      <c r="P29" s="76">
        <f t="shared" si="59"/>
        <v>0</v>
      </c>
      <c r="Q29" s="76">
        <f t="shared" si="59"/>
        <v>0</v>
      </c>
      <c r="R29" s="56">
        <v>0.0</v>
      </c>
      <c r="S29" s="76">
        <f t="shared" ref="S29:U29" si="60">R29</f>
        <v>0</v>
      </c>
      <c r="T29" s="76">
        <f t="shared" si="60"/>
        <v>0</v>
      </c>
      <c r="U29" s="76">
        <f t="shared" si="60"/>
        <v>0</v>
      </c>
      <c r="V29" s="56">
        <v>0.0</v>
      </c>
      <c r="W29" s="76">
        <f t="shared" ref="W29:Y29" si="61">V29</f>
        <v>0</v>
      </c>
      <c r="X29" s="76">
        <f t="shared" si="61"/>
        <v>0</v>
      </c>
      <c r="Y29" s="76">
        <f t="shared" si="61"/>
        <v>0</v>
      </c>
      <c r="Z29" s="56">
        <v>0.0</v>
      </c>
    </row>
    <row r="30">
      <c r="A30" s="74" t="s">
        <v>152</v>
      </c>
      <c r="B30" s="56"/>
      <c r="C30" s="76" t="str">
        <f t="shared" ref="C30:E30" si="62">B30</f>
        <v/>
      </c>
      <c r="D30" s="76" t="str">
        <f t="shared" si="62"/>
        <v/>
      </c>
      <c r="E30" s="76" t="str">
        <f t="shared" si="62"/>
        <v/>
      </c>
      <c r="F30" s="56"/>
      <c r="G30" s="76" t="str">
        <f t="shared" ref="G30:I30" si="63">F30</f>
        <v/>
      </c>
      <c r="H30" s="76" t="str">
        <f t="shared" si="63"/>
        <v/>
      </c>
      <c r="I30" s="76" t="str">
        <f t="shared" si="63"/>
        <v/>
      </c>
      <c r="J30" s="56"/>
      <c r="K30" s="76" t="str">
        <f t="shared" si="36"/>
        <v/>
      </c>
      <c r="L30" s="76" t="str">
        <f t="shared" si="37"/>
        <v/>
      </c>
      <c r="M30" s="76" t="str">
        <f t="shared" si="38"/>
        <v/>
      </c>
      <c r="N30" s="56"/>
      <c r="O30" s="76" t="str">
        <f t="shared" ref="O30:Q30" si="64">N30</f>
        <v/>
      </c>
      <c r="P30" s="76" t="str">
        <f t="shared" si="64"/>
        <v/>
      </c>
      <c r="Q30" s="76" t="str">
        <f t="shared" si="64"/>
        <v/>
      </c>
      <c r="R30" s="56"/>
      <c r="S30" s="76" t="str">
        <f t="shared" ref="S30:U30" si="65">R30</f>
        <v/>
      </c>
      <c r="T30" s="76" t="str">
        <f t="shared" si="65"/>
        <v/>
      </c>
      <c r="U30" s="76" t="str">
        <f t="shared" si="65"/>
        <v/>
      </c>
      <c r="V30" s="56"/>
      <c r="W30" s="76" t="str">
        <f t="shared" ref="W30:Y30" si="66">V30</f>
        <v/>
      </c>
      <c r="X30" s="76" t="str">
        <f t="shared" si="66"/>
        <v/>
      </c>
      <c r="Y30" s="76" t="str">
        <f t="shared" si="66"/>
        <v/>
      </c>
      <c r="Z30" s="56"/>
    </row>
    <row r="31"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21.0" customHeight="1">
      <c r="A33" s="79" t="s">
        <v>153</v>
      </c>
      <c r="B33" s="80">
        <f>B11-B20-B23-B4</f>
        <v>278394.78</v>
      </c>
      <c r="C33" s="81">
        <f t="shared" ref="C33:Z33" si="67">C12-C20-C23-C4</f>
        <v>303759.8732</v>
      </c>
      <c r="D33" s="81">
        <f t="shared" si="67"/>
        <v>303759.8732</v>
      </c>
      <c r="E33" s="81">
        <f t="shared" si="67"/>
        <v>303759.8732</v>
      </c>
      <c r="F33" s="81">
        <f t="shared" si="67"/>
        <v>350641.8868</v>
      </c>
      <c r="G33" s="81">
        <f t="shared" si="67"/>
        <v>350641.8868</v>
      </c>
      <c r="H33" s="81">
        <f t="shared" si="67"/>
        <v>350641.8868</v>
      </c>
      <c r="I33" s="81">
        <f t="shared" si="67"/>
        <v>405733.6762</v>
      </c>
      <c r="J33" s="81">
        <f t="shared" si="67"/>
        <v>409833.6762</v>
      </c>
      <c r="K33" s="81">
        <f t="shared" si="67"/>
        <v>409833.6762</v>
      </c>
      <c r="L33" s="81">
        <f t="shared" si="67"/>
        <v>473256.4625</v>
      </c>
      <c r="M33" s="81">
        <f t="shared" si="67"/>
        <v>473256.4625</v>
      </c>
      <c r="N33" s="81">
        <f t="shared" si="67"/>
        <v>473256.4625</v>
      </c>
      <c r="O33" s="81">
        <f t="shared" si="67"/>
        <v>546240.5828</v>
      </c>
      <c r="P33" s="81">
        <f t="shared" si="67"/>
        <v>546240.5828</v>
      </c>
      <c r="Q33" s="81">
        <f t="shared" si="67"/>
        <v>546240.5828</v>
      </c>
      <c r="R33" s="81">
        <f t="shared" si="67"/>
        <v>630191.2537</v>
      </c>
      <c r="S33" s="81">
        <f t="shared" si="67"/>
        <v>630191.2537</v>
      </c>
      <c r="T33" s="81">
        <f t="shared" si="67"/>
        <v>630191.2537</v>
      </c>
      <c r="U33" s="81">
        <f t="shared" si="67"/>
        <v>726711.8132</v>
      </c>
      <c r="V33" s="81">
        <f t="shared" si="67"/>
        <v>726711.8132</v>
      </c>
      <c r="W33" s="81">
        <f t="shared" si="67"/>
        <v>726711.8132</v>
      </c>
      <c r="X33" s="81">
        <f t="shared" si="67"/>
        <v>837629.6548</v>
      </c>
      <c r="Y33" s="81">
        <f t="shared" si="67"/>
        <v>837629.6548</v>
      </c>
      <c r="Z33" s="81">
        <f t="shared" si="67"/>
        <v>837629.6548</v>
      </c>
    </row>
    <row r="34" ht="21.0" customHeight="1">
      <c r="A34" s="82" t="s">
        <v>154</v>
      </c>
      <c r="B34" s="83">
        <f>iferror(B33/B11)</f>
        <v>0.3627326634</v>
      </c>
      <c r="C34" s="83">
        <f t="shared" ref="C34:Z34" si="68">iferror(C33/C12)</f>
        <v>0.3604571459</v>
      </c>
      <c r="D34" s="83">
        <f t="shared" si="68"/>
        <v>0.3604571459</v>
      </c>
      <c r="E34" s="83">
        <f t="shared" si="68"/>
        <v>0.3604571459</v>
      </c>
      <c r="F34" s="83">
        <f t="shared" si="68"/>
        <v>0.3590075611</v>
      </c>
      <c r="G34" s="83">
        <f t="shared" si="68"/>
        <v>0.3590075611</v>
      </c>
      <c r="H34" s="83">
        <f t="shared" si="68"/>
        <v>0.3590075611</v>
      </c>
      <c r="I34" s="83">
        <f t="shared" si="68"/>
        <v>0.3584242794</v>
      </c>
      <c r="J34" s="83">
        <f t="shared" si="68"/>
        <v>0.3620462108</v>
      </c>
      <c r="K34" s="83">
        <f t="shared" si="68"/>
        <v>0.3620462108</v>
      </c>
      <c r="L34" s="83">
        <f t="shared" si="68"/>
        <v>0.3607193851</v>
      </c>
      <c r="M34" s="83">
        <f t="shared" si="68"/>
        <v>0.3607193851</v>
      </c>
      <c r="N34" s="83">
        <f t="shared" si="68"/>
        <v>0.3607193851</v>
      </c>
      <c r="O34" s="83">
        <f t="shared" si="68"/>
        <v>0.3592307092</v>
      </c>
      <c r="P34" s="83">
        <f t="shared" si="68"/>
        <v>0.3592307092</v>
      </c>
      <c r="Q34" s="83">
        <f t="shared" si="68"/>
        <v>0.3592307092</v>
      </c>
      <c r="R34" s="83">
        <f t="shared" si="68"/>
        <v>0.3575842883</v>
      </c>
      <c r="S34" s="83">
        <f t="shared" si="68"/>
        <v>0.3575842883</v>
      </c>
      <c r="T34" s="83">
        <f t="shared" si="68"/>
        <v>0.3575842883</v>
      </c>
      <c r="U34" s="83">
        <f t="shared" si="68"/>
        <v>0.3557827118</v>
      </c>
      <c r="V34" s="83">
        <f t="shared" si="68"/>
        <v>0.3557827118</v>
      </c>
      <c r="W34" s="83">
        <f t="shared" si="68"/>
        <v>0.3557827118</v>
      </c>
      <c r="X34" s="83">
        <f t="shared" si="68"/>
        <v>0.3538272112</v>
      </c>
      <c r="Y34" s="83">
        <f t="shared" si="68"/>
        <v>0.3538272112</v>
      </c>
      <c r="Z34" s="83">
        <f t="shared" si="68"/>
        <v>0.3538272112</v>
      </c>
    </row>
    <row r="36">
      <c r="B36" s="34"/>
    </row>
  </sheetData>
  <mergeCells count="4">
    <mergeCell ref="A1:A2"/>
    <mergeCell ref="B1:B2"/>
    <mergeCell ref="C1:N1"/>
    <mergeCell ref="O1:Z1"/>
  </mergeCells>
  <conditionalFormatting sqref="B33:Z33">
    <cfRule type="colorScale" priority="1">
      <colorScale>
        <cfvo type="percent" val="0"/>
        <cfvo type="formula" val="1"/>
        <cfvo type="formula" val="100000"/>
        <color rgb="FFFF0000"/>
        <color rgb="FFB7E1CD"/>
        <color rgb="FF00FF00"/>
      </colorScale>
    </cfRule>
  </conditionalFormatting>
  <conditionalFormatting sqref="B33:Z33">
    <cfRule type="cellIs" dxfId="0" priority="2" operator="lessThan">
      <formula>0</formula>
    </cfRule>
  </conditionalFormatting>
  <conditionalFormatting sqref="C34:Z34">
    <cfRule type="containsBlanks" dxfId="1" priority="3">
      <formula>LEN(TRIM(C34))=0</formula>
    </cfRule>
  </conditionalFormatting>
  <conditionalFormatting sqref="A34:Z34">
    <cfRule type="colorScale" priority="4">
      <colorScale>
        <cfvo type="formula" val="0%"/>
        <cfvo type="formula" val="100%"/>
        <color rgb="FFFFFFFF"/>
        <color rgb="FF57BB8A"/>
      </colorScale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155</v>
      </c>
    </row>
    <row r="2">
      <c r="A2" s="4" t="s">
        <v>156</v>
      </c>
      <c r="B2" s="4" t="s">
        <v>99</v>
      </c>
    </row>
    <row r="3">
      <c r="A3" s="4" t="s">
        <v>157</v>
      </c>
    </row>
    <row r="4">
      <c r="A4" s="4" t="s">
        <v>158</v>
      </c>
      <c r="B4" s="4" t="s">
        <v>159</v>
      </c>
      <c r="C4" s="4" t="s">
        <v>160</v>
      </c>
      <c r="D4" s="4" t="s">
        <v>52</v>
      </c>
      <c r="E4" s="4" t="s">
        <v>53</v>
      </c>
      <c r="F4" s="4" t="s">
        <v>161</v>
      </c>
      <c r="G4" s="4" t="s">
        <v>162</v>
      </c>
      <c r="H4" s="4" t="s">
        <v>163</v>
      </c>
      <c r="I4" s="4" t="s">
        <v>164</v>
      </c>
      <c r="J4" s="4" t="s">
        <v>165</v>
      </c>
      <c r="K4" s="4" t="s">
        <v>166</v>
      </c>
      <c r="L4" s="4" t="s">
        <v>167</v>
      </c>
      <c r="M4" s="4" t="s">
        <v>168</v>
      </c>
      <c r="N4" s="4" t="s">
        <v>169</v>
      </c>
      <c r="O4" s="4" t="s">
        <v>170</v>
      </c>
      <c r="P4" s="4" t="s">
        <v>171</v>
      </c>
    </row>
    <row r="5">
      <c r="A5" s="4" t="s">
        <v>172</v>
      </c>
      <c r="B5" t="str">
        <f>LEFT(CELL("ADDRESS", #REF!), SEARCH("^^", SUBSTITUTE(CELL("ADDRESS", #REF!), "!", "^^", LEN(CELL("ADDRESS", #REF!))-LEN(SUBSTITUTE(CELL("ADDRESS", #REF!), "!", ""))))-1)</f>
        <v>#REF!</v>
      </c>
      <c r="C5" t="str">
        <f>ADDRESS(ROW(#REF!), COLUMN(#REF!)) &amp; ":" &amp; ADDRESS(ROW(#REF!)+ROWS(#REF!)-1, COLUMN(#REF!)+COLUMNS(#REF!)-1)</f>
        <v>#REF!</v>
      </c>
      <c r="D5" s="84">
        <v>43417.80307770833</v>
      </c>
      <c r="E5" s="84">
        <v>43417.80611346065</v>
      </c>
      <c r="I5" s="4" t="b">
        <v>1</v>
      </c>
      <c r="O5" s="4" t="s">
        <v>173</v>
      </c>
      <c r="P5" s="4" t="s">
        <v>174</v>
      </c>
      <c r="Q5" s="4" t="s">
        <v>175</v>
      </c>
      <c r="R5" s="85">
        <v>43405.0</v>
      </c>
      <c r="S5" s="4" t="s">
        <v>176</v>
      </c>
      <c r="T5" s="4" t="s">
        <v>175</v>
      </c>
      <c r="U5" s="85">
        <v>43417.0</v>
      </c>
      <c r="V5" s="4" t="s">
        <v>177</v>
      </c>
      <c r="W5" s="4" t="s">
        <v>178</v>
      </c>
      <c r="X5" s="4" t="s">
        <v>179</v>
      </c>
      <c r="Y5" s="4" t="s">
        <v>180</v>
      </c>
      <c r="Z5" s="4" t="s">
        <v>181</v>
      </c>
      <c r="AA5" s="4" t="s">
        <v>182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</sheetData>
  <drawing r:id="rId1"/>
</worksheet>
</file>